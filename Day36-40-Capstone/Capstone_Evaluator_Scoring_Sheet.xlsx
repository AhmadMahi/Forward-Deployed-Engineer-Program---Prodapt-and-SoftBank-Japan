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ubric" sheetId="3" state="visible" r:id="rId3"/>
    <sheet xmlns:r="http://schemas.openxmlformats.org/officeDocument/2006/relationships" name="Baseline v4" sheetId="4" state="visible" r:id="rId4"/>
    <sheet xmlns:r="http://schemas.openxmlformats.org/officeDocument/2006/relationships" name="Team 1" sheetId="5" state="visible" r:id="rId5"/>
    <sheet xmlns:r="http://schemas.openxmlformats.org/officeDocument/2006/relationships" name="Team 2" sheetId="6" state="visible" r:id="rId6"/>
    <sheet xmlns:r="http://schemas.openxmlformats.org/officeDocument/2006/relationships" name="Team 3" sheetId="7" state="visible" r:id="rId7"/>
    <sheet xmlns:r="http://schemas.openxmlformats.org/officeDocument/2006/relationships" name="Team 4" sheetId="8" state="visible" r:id="rId8"/>
    <sheet xmlns:r="http://schemas.openxmlformats.org/officeDocument/2006/relationships" name="Team 5" sheetId="9" state="visible" r:id="rId9"/>
    <sheet xmlns:r="http://schemas.openxmlformats.org/officeDocument/2006/relationships" name="Team 6" sheetId="10" state="visible" r:id="rId10"/>
    <sheet xmlns:r="http://schemas.openxmlformats.org/officeDocument/2006/relationships" name="Team 7" sheetId="11" state="visible" r:id="rId11"/>
    <sheet xmlns:r="http://schemas.openxmlformats.org/officeDocument/2006/relationships" name="Team 8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b val="1"/>
      <sz val="11"/>
    </font>
  </fonts>
  <fills count="6">
    <fill>
      <patternFill/>
    </fill>
    <fill>
      <patternFill patternType="gray125"/>
    </fill>
    <fill>
      <patternFill patternType="solid">
        <fgColor rgb="FF0FA3A3"/>
        <bgColor rgb="FF008080"/>
      </patternFill>
    </fill>
    <fill>
      <patternFill patternType="solid">
        <fgColor rgb="FFFFF4CC"/>
        <bgColor rgb="FFFFFFFF"/>
      </patternFill>
    </fill>
    <fill>
      <patternFill patternType="solid">
        <fgColor rgb="FFE3F6F5"/>
        <bgColor rgb="FFCC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9ED9D4"/>
      </left>
      <right style="thin">
        <color rgb="FF9ED9D4"/>
      </right>
      <top style="thin">
        <color rgb="FF9ED9D4"/>
      </top>
      <bottom style="thin">
        <color rgb="FF9ED9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9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0" pivotButton="0" quotePrefix="0" xfId="0"/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9" fillId="0" borderId="0" applyAlignment="1" pivotButton="0" quotePrefix="0" xfId="0">
      <alignment horizontal="general" vertical="bottom"/>
    </xf>
    <xf numFmtId="0" fontId="9" fillId="0" borderId="0" pivotButton="0" quotePrefix="0" xfId="0"/>
    <xf numFmtId="0" fontId="7" fillId="2" borderId="0" pivotButton="0" quotePrefix="0" xfId="0"/>
    <xf numFmtId="0" fontId="0" fillId="5" borderId="0" pivotButton="0" quotePrefix="0" xfId="0"/>
    <xf numFmtId="0" fontId="8" fillId="3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 wrapText="1"/>
    </xf>
    <xf numFmtId="0" fontId="9" fillId="4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C"/>
      <rgbColor rgb="FFE3F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ED9D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FA3A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0" customWidth="1" style="13" min="1" max="1"/>
  </cols>
  <sheetData>
    <row r="1" ht="17.25" customHeight="1" s="14">
      <c r="A1" s="15" t="inlineStr">
        <is>
          <t>Capstone Evaluator Scoring Workbook (Days 36 to 40, Tue 15 Dec to Mon 21 Dec 2026)</t>
        </is>
      </c>
    </row>
    <row r="2" ht="15" customHeight="1" s="14">
      <c r="A2" s="16" t="inlineStr">
        <is>
          <t>Prepared by Ahmed | linkedin.com/in/ahmed-al-imaad</t>
        </is>
      </c>
    </row>
    <row r="3" ht="15" customHeight="1" s="14">
      <c r="A3" s="16" t="n"/>
    </row>
    <row r="4" ht="15" customHeight="1" s="14">
      <c r="A4" s="17" t="inlineStr">
        <is>
          <t>How to use:</t>
        </is>
      </c>
    </row>
    <row r="5" ht="15" customHeight="1" s="14">
      <c r="A5" s="16" t="inlineStr">
        <is>
          <t>1. Open a Team sheet. Enter team name, project and evaluator in the yellow cells at the top.</t>
        </is>
      </c>
    </row>
    <row r="6" ht="15" customHeight="1" s="14">
      <c r="A6" s="16" t="inlineStr">
        <is>
          <t>2. For each criterion, enter a level from 1 to 4 in the yellow Level column (4 Excellent, 3 Good, 2 Developing, 1 Beginning).</t>
        </is>
      </c>
    </row>
    <row r="7" ht="15" customHeight="1" s="14">
      <c r="A7" s="16" t="inlineStr">
        <is>
          <t>3. Points are calculated automatically: weight x level / 4. The total and grade band update automatically.</t>
        </is>
      </c>
    </row>
    <row r="8" ht="15" customHeight="1" s="14">
      <c r="A8" s="16" t="inlineStr">
        <is>
          <t>4. Add short evidence notes for every score: what you saw in the demo, repository or evaluation report.</t>
        </is>
      </c>
    </row>
    <row r="9" ht="15" customHeight="1" s="14">
      <c r="A9" s="16" t="inlineStr">
        <is>
          <t>5. The Summary sheet collects every team's total and grade.</t>
        </is>
      </c>
    </row>
    <row r="10" ht="15" customHeight="1" s="14">
      <c r="A10" s="16" t="n"/>
    </row>
    <row r="11" ht="15" customHeight="1" s="14">
      <c r="A11" s="16" t="inlineStr">
        <is>
          <t>Yellow cells = inputs. White and teal cells = formulas, do not edit.</t>
        </is>
      </c>
    </row>
    <row r="12" ht="15" customHeight="1" s="14">
      <c r="A12" s="16" t="inlineStr">
        <is>
          <t>Team 1 contains an example of filled-in scores to show the expected format. Replace it with real scores.</t>
        </is>
      </c>
    </row>
    <row r="13" ht="15" customHeight="1" s="14">
      <c r="A13" s="16" t="inlineStr">
        <is>
          <t>Grade bands: 85 to 100 Distinction, 70 to 84 Merit, 55 to 69 Pass, below 55 Needs resubmission (from the Capstone Guide).</t>
        </is>
      </c>
    </row>
    <row r="14">
      <c r="A14" s="18" t="inlineStr">
        <is>
          <t>NEW (v4): also complete the 'Baseline v4' sheet (modernisation step, AGENTS.md, OWASP Agentic checklist, vulnerability report, token and cost report). Missing items lower the matching criterion.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13" min="1" max="1"/>
    <col width="28" customWidth="1" style="13" min="2" max="2"/>
    <col width="60" customWidth="1" style="13" min="3" max="3"/>
    <col width="16" customWidth="1" style="13" min="4" max="4"/>
    <col width="20" customWidth="1" style="13" min="5" max="5"/>
    <col width="14" customWidth="1" style="13" min="6" max="6"/>
  </cols>
  <sheetData>
    <row r="1" ht="26.25" customHeight="1" s="14">
      <c r="A1" s="19" t="inlineStr">
        <is>
          <t>Team</t>
        </is>
      </c>
      <c r="B1" s="19" t="inlineStr">
        <is>
          <t>Team name</t>
        </is>
      </c>
      <c r="C1" s="19" t="inlineStr">
        <is>
          <t>Project</t>
        </is>
      </c>
      <c r="D1" s="19" t="inlineStr">
        <is>
          <t>Total (out of 100)</t>
        </is>
      </c>
      <c r="E1" s="19" t="inlineStr">
        <is>
          <t>Grade band</t>
        </is>
      </c>
      <c r="F1" s="19" t="inlineStr">
        <is>
          <t>Criteria scored</t>
        </is>
      </c>
    </row>
    <row r="2" ht="15" customHeight="1" s="14">
      <c r="A2" s="20" t="inlineStr">
        <is>
          <t>Team 1</t>
        </is>
      </c>
      <c r="B2" s="20">
        <f>IF('Team 1'!B1="","",'Team 1'!B1)</f>
        <v/>
      </c>
      <c r="C2" s="20">
        <f>IF('Team 1'!B2="","",'Team 1'!B2)</f>
        <v/>
      </c>
      <c r="D2" s="20">
        <f>'Team 1'!D16</f>
        <v/>
      </c>
      <c r="E2" s="20">
        <f>'Team 1'!D17</f>
        <v/>
      </c>
      <c r="F2" s="20">
        <f>'Team 1'!D18</f>
        <v/>
      </c>
    </row>
    <row r="3" ht="15" customHeight="1" s="14">
      <c r="A3" s="20" t="inlineStr">
        <is>
          <t>Team 2</t>
        </is>
      </c>
      <c r="B3" s="20">
        <f>IF('Team 2'!B1="","",'Team 2'!B1)</f>
        <v/>
      </c>
      <c r="C3" s="20">
        <f>IF('Team 2'!B2="","",'Team 2'!B2)</f>
        <v/>
      </c>
      <c r="D3" s="20">
        <f>'Team 2'!D16</f>
        <v/>
      </c>
      <c r="E3" s="20">
        <f>'Team 2'!D17</f>
        <v/>
      </c>
      <c r="F3" s="20">
        <f>'Team 2'!D18</f>
        <v/>
      </c>
    </row>
    <row r="4" ht="15" customHeight="1" s="14">
      <c r="A4" s="20" t="inlineStr">
        <is>
          <t>Team 3</t>
        </is>
      </c>
      <c r="B4" s="20">
        <f>IF('Team 3'!B1="","",'Team 3'!B1)</f>
        <v/>
      </c>
      <c r="C4" s="20">
        <f>IF('Team 3'!B2="","",'Team 3'!B2)</f>
        <v/>
      </c>
      <c r="D4" s="20">
        <f>'Team 3'!D16</f>
        <v/>
      </c>
      <c r="E4" s="20">
        <f>'Team 3'!D17</f>
        <v/>
      </c>
      <c r="F4" s="20">
        <f>'Team 3'!D18</f>
        <v/>
      </c>
    </row>
    <row r="5" ht="15" customHeight="1" s="14">
      <c r="A5" s="20" t="inlineStr">
        <is>
          <t>Team 4</t>
        </is>
      </c>
      <c r="B5" s="20">
        <f>IF('Team 4'!B1="","",'Team 4'!B1)</f>
        <v/>
      </c>
      <c r="C5" s="20">
        <f>IF('Team 4'!B2="","",'Team 4'!B2)</f>
        <v/>
      </c>
      <c r="D5" s="20">
        <f>'Team 4'!D16</f>
        <v/>
      </c>
      <c r="E5" s="20">
        <f>'Team 4'!D17</f>
        <v/>
      </c>
      <c r="F5" s="20">
        <f>'Team 4'!D18</f>
        <v/>
      </c>
    </row>
    <row r="6" ht="15" customHeight="1" s="14">
      <c r="A6" s="20" t="inlineStr">
        <is>
          <t>Team 5</t>
        </is>
      </c>
      <c r="B6" s="20">
        <f>IF('Team 5'!B1="","",'Team 5'!B1)</f>
        <v/>
      </c>
      <c r="C6" s="20">
        <f>IF('Team 5'!B2="","",'Team 5'!B2)</f>
        <v/>
      </c>
      <c r="D6" s="20">
        <f>'Team 5'!D16</f>
        <v/>
      </c>
      <c r="E6" s="20">
        <f>'Team 5'!D17</f>
        <v/>
      </c>
      <c r="F6" s="20">
        <f>'Team 5'!D18</f>
        <v/>
      </c>
    </row>
    <row r="7" ht="15" customHeight="1" s="14">
      <c r="A7" s="20" t="inlineStr">
        <is>
          <t>Team 6</t>
        </is>
      </c>
      <c r="B7" s="20">
        <f>IF('Team 6'!B1="","",'Team 6'!B1)</f>
        <v/>
      </c>
      <c r="C7" s="20">
        <f>IF('Team 6'!B2="","",'Team 6'!B2)</f>
        <v/>
      </c>
      <c r="D7" s="20">
        <f>'Team 6'!D16</f>
        <v/>
      </c>
      <c r="E7" s="20">
        <f>'Team 6'!D17</f>
        <v/>
      </c>
      <c r="F7" s="20">
        <f>'Team 6'!D18</f>
        <v/>
      </c>
    </row>
    <row r="8" ht="15" customHeight="1" s="14">
      <c r="A8" s="20" t="inlineStr">
        <is>
          <t>Team 7</t>
        </is>
      </c>
      <c r="B8" s="20">
        <f>IF('Team 7'!B1="","",'Team 7'!B1)</f>
        <v/>
      </c>
      <c r="C8" s="20">
        <f>IF('Team 7'!B2="","",'Team 7'!B2)</f>
        <v/>
      </c>
      <c r="D8" s="20">
        <f>'Team 7'!D16</f>
        <v/>
      </c>
      <c r="E8" s="20">
        <f>'Team 7'!D17</f>
        <v/>
      </c>
      <c r="F8" s="20">
        <f>'Team 7'!D18</f>
        <v/>
      </c>
    </row>
    <row r="9" ht="15" customHeight="1" s="14">
      <c r="A9" s="20" t="inlineStr">
        <is>
          <t>Team 8</t>
        </is>
      </c>
      <c r="B9" s="20">
        <f>IF('Team 8'!B1="","",'Team 8'!B1)</f>
        <v/>
      </c>
      <c r="C9" s="20">
        <f>IF('Team 8'!B2="","",'Team 8'!B2)</f>
        <v/>
      </c>
      <c r="D9" s="20">
        <f>'Team 8'!D16</f>
        <v/>
      </c>
      <c r="E9" s="20">
        <f>'Team 8'!D17</f>
        <v/>
      </c>
      <c r="F9" s="20">
        <f>'Team 8'!D18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70" customWidth="1" style="13" min="3" max="3"/>
    <col width="26" customWidth="1" style="13" min="4" max="7"/>
  </cols>
  <sheetData>
    <row r="1" ht="15" customHeight="1" s="14">
      <c r="A1" s="19" t="inlineStr">
        <is>
          <t>Criterion</t>
        </is>
      </c>
      <c r="B1" s="19" t="inlineStr">
        <is>
          <t>Weight</t>
        </is>
      </c>
      <c r="C1" s="19" t="inlineStr">
        <is>
          <t>What evaluators look for</t>
        </is>
      </c>
      <c r="D1" s="19" t="inlineStr">
        <is>
          <t>4 Excellent</t>
        </is>
      </c>
      <c r="E1" s="19" t="inlineStr">
        <is>
          <t>3 Good</t>
        </is>
      </c>
      <c r="F1" s="19" t="inlineStr">
        <is>
          <t>2 Developing</t>
        </is>
      </c>
      <c r="G1" s="19" t="inlineStr">
        <is>
          <t>1 Beginning</t>
        </is>
      </c>
    </row>
    <row r="2" ht="39" customHeight="1" s="14">
      <c r="A2" s="21" t="inlineStr">
        <is>
          <t>Problem understanding and scoping</t>
        </is>
      </c>
      <c r="B2" s="21" t="n">
        <v>10</v>
      </c>
      <c r="C2" s="21" t="inlineStr">
        <is>
          <t>Clear problem statement, users, success metrics, assumptions log, agreed MVP scope (FDE Mindset Days 1, 14, 19).</t>
        </is>
      </c>
      <c r="D2" s="21" t="inlineStr">
        <is>
          <t>Goes beyond the brief; production-minded; evidence for every claim.</t>
        </is>
      </c>
      <c r="E2" s="21" t="inlineStr">
        <is>
          <t>Meets the brief fully with minor gaps.</t>
        </is>
      </c>
      <c r="F2" s="21" t="inlineStr">
        <is>
          <t>Partly meets the brief; important gaps or untested parts.</t>
        </is>
      </c>
      <c r="G2" s="21" t="inlineStr">
        <is>
          <t>Major parts missing or not working.</t>
        </is>
      </c>
    </row>
    <row r="3" ht="39" customHeight="1" s="14">
      <c r="A3" s="21" t="inlineStr">
        <is>
          <t>Architecture and design</t>
        </is>
      </c>
      <c r="B3" s="21" t="n">
        <v>10</v>
      </c>
      <c r="C3" s="21" t="inlineStr">
        <is>
          <t>Sensible architecture diagram, layered code, right tool choices with reasons, data model (Days 4, 6, 18, 34).</t>
        </is>
      </c>
      <c r="D3" s="21" t="inlineStr">
        <is>
          <t>Goes beyond the brief; production-minded; evidence for every claim.</t>
        </is>
      </c>
      <c r="E3" s="21" t="inlineStr">
        <is>
          <t>Meets the brief fully with minor gaps.</t>
        </is>
      </c>
      <c r="F3" s="21" t="inlineStr">
        <is>
          <t>Partly meets the brief; important gaps or untested parts.</t>
        </is>
      </c>
      <c r="G3" s="21" t="inlineStr">
        <is>
          <t>Major parts missing or not working.</t>
        </is>
      </c>
    </row>
    <row r="4" ht="39" customHeight="1" s="14">
      <c r="A4" s="21" t="inlineStr">
        <is>
          <t>Core functionality</t>
        </is>
      </c>
      <c r="B4" s="21" t="n">
        <v>20</v>
      </c>
      <c r="C4" s="21" t="inlineStr">
        <is>
          <t>All must-have features work end to end in the demo; project checklist items delivered.</t>
        </is>
      </c>
      <c r="D4" s="21" t="inlineStr">
        <is>
          <t>Goes beyond the brief; production-minded; evidence for every claim.</t>
        </is>
      </c>
      <c r="E4" s="21" t="inlineStr">
        <is>
          <t>Meets the brief fully with minor gaps.</t>
        </is>
      </c>
      <c r="F4" s="21" t="inlineStr">
        <is>
          <t>Partly meets the brief; important gaps or untested parts.</t>
        </is>
      </c>
      <c r="G4" s="21" t="inlineStr">
        <is>
          <t>Major parts missing or not working.</t>
        </is>
      </c>
    </row>
    <row r="5" ht="39" customHeight="1" s="14">
      <c r="A5" s="21" t="inlineStr">
        <is>
          <t>AI and data quality</t>
        </is>
      </c>
      <c r="B5" s="21" t="n">
        <v>15</v>
      </c>
      <c r="C5" s="21" t="inlineStr">
        <is>
          <t>Golden set of at least 20 items, measured metrics (retrieval, faithfulness or recommendation quality), error analysis (Days 22, 31, 32).</t>
        </is>
      </c>
      <c r="D5" s="21" t="inlineStr">
        <is>
          <t>Goes beyond the brief; production-minded; evidence for every claim.</t>
        </is>
      </c>
      <c r="E5" s="21" t="inlineStr">
        <is>
          <t>Meets the brief fully with minor gaps.</t>
        </is>
      </c>
      <c r="F5" s="21" t="inlineStr">
        <is>
          <t>Partly meets the brief; important gaps or untested parts.</t>
        </is>
      </c>
      <c r="G5" s="21" t="inlineStr">
        <is>
          <t>Major parts missing or not working.</t>
        </is>
      </c>
    </row>
    <row r="6" ht="39" customHeight="1" s="14">
      <c r="A6" s="21" t="inlineStr">
        <is>
          <t>Engineering quality</t>
        </is>
      </c>
      <c r="B6" s="21" t="n">
        <v>10</v>
      </c>
      <c r="C6" s="21" t="inlineStr">
        <is>
          <t>Readable code, tests (API, pipeline, prompts), Git history with pull requests, CI pipeline green (Days 15, 17, 20). NEW (v4): AGENTS.md in the repo; modernisation step done tests first.</t>
        </is>
      </c>
      <c r="D6" s="21" t="inlineStr">
        <is>
          <t>Goes beyond the brief; production-minded; evidence for every claim.</t>
        </is>
      </c>
      <c r="E6" s="21" t="inlineStr">
        <is>
          <t>Meets the brief fully with minor gaps.</t>
        </is>
      </c>
      <c r="F6" s="21" t="inlineStr">
        <is>
          <t>Partly meets the brief; important gaps or untested parts.</t>
        </is>
      </c>
      <c r="G6" s="21" t="inlineStr">
        <is>
          <t>Major parts missing or not working.</t>
        </is>
      </c>
    </row>
    <row r="7" ht="39" customHeight="1" s="14">
      <c r="A7" s="21" t="inlineStr">
        <is>
          <t>Security, guardrails and responsible AI</t>
        </is>
      </c>
      <c r="B7" s="21" t="n">
        <v>10</v>
      </c>
      <c r="C7" s="21" t="inlineStr">
        <is>
          <t>Input and output guardrails, secrets handling, least privilege, a red-team check, fairness or language slice check (Days 7, 30). NEW (v4): OWASP Agentic checklist and vulnerability report.</t>
        </is>
      </c>
      <c r="D7" s="21" t="inlineStr">
        <is>
          <t>Goes beyond the brief; production-minded; evidence for every claim.</t>
        </is>
      </c>
      <c r="E7" s="21" t="inlineStr">
        <is>
          <t>Meets the brief fully with minor gaps.</t>
        </is>
      </c>
      <c r="F7" s="21" t="inlineStr">
        <is>
          <t>Partly meets the brief; important gaps or untested parts.</t>
        </is>
      </c>
      <c r="G7" s="21" t="inlineStr">
        <is>
          <t>Major parts missing or not working.</t>
        </is>
      </c>
    </row>
    <row r="8" ht="39" customHeight="1" s="14">
      <c r="A8" s="21" t="inlineStr">
        <is>
          <t>Deployment and operations</t>
        </is>
      </c>
      <c r="B8" s="21" t="n">
        <v>10</v>
      </c>
      <c r="C8" s="21" t="inlineStr">
        <is>
          <t>Containerised, deployable (Azure or documented), structured logs, a dashboard or report, one drift or quality check (Days 21, 33 to 35). NEW (v4): token and cost report.</t>
        </is>
      </c>
      <c r="D8" s="21" t="inlineStr">
        <is>
          <t>Goes beyond the brief; production-minded; evidence for every claim.</t>
        </is>
      </c>
      <c r="E8" s="21" t="inlineStr">
        <is>
          <t>Meets the brief fully with minor gaps.</t>
        </is>
      </c>
      <c r="F8" s="21" t="inlineStr">
        <is>
          <t>Partly meets the brief; important gaps or untested parts.</t>
        </is>
      </c>
      <c r="G8" s="21" t="inlineStr">
        <is>
          <t>Major parts missing or not working.</t>
        </is>
      </c>
    </row>
    <row r="9" ht="39" customHeight="1" s="14">
      <c r="A9" s="21" t="inlineStr">
        <is>
          <t>Demo and communication</t>
        </is>
      </c>
      <c r="B9" s="21" t="n">
        <v>10</v>
      </c>
      <c r="C9" s="21" t="inlineStr">
        <is>
          <t>Answer-first readout, live demo, honest limits, confident Q&amp;A, clear handover README (FDE Mindset Days 24, 29).</t>
        </is>
      </c>
      <c r="D9" s="21" t="inlineStr">
        <is>
          <t>Goes beyond the brief; production-minded; evidence for every claim.</t>
        </is>
      </c>
      <c r="E9" s="21" t="inlineStr">
        <is>
          <t>Meets the brief fully with minor gaps.</t>
        </is>
      </c>
      <c r="F9" s="21" t="inlineStr">
        <is>
          <t>Partly meets the brief; important gaps or untested parts.</t>
        </is>
      </c>
      <c r="G9" s="21" t="inlineStr">
        <is>
          <t>Major parts missing or not working.</t>
        </is>
      </c>
    </row>
    <row r="10" ht="39" customHeight="1" s="14">
      <c r="A10" s="21" t="inlineStr">
        <is>
          <t>Teamwork and process</t>
        </is>
      </c>
      <c r="B10" s="21" t="n">
        <v>5</v>
      </c>
      <c r="C10" s="21" t="inlineStr">
        <is>
          <t>Daily stand-ups, decision log, fair contribution, kind and specific feedback (FDE Mindset Days 14, 24, 29).</t>
        </is>
      </c>
      <c r="D10" s="21" t="inlineStr">
        <is>
          <t>Goes beyond the brief; production-minded; evidence for every claim.</t>
        </is>
      </c>
      <c r="E10" s="21" t="inlineStr">
        <is>
          <t>Meets the brief fully with minor gaps.</t>
        </is>
      </c>
      <c r="F10" s="21" t="inlineStr">
        <is>
          <t>Partly meets the brief; important gaps or untested parts.</t>
        </is>
      </c>
      <c r="G10" s="21" t="inlineStr">
        <is>
          <t>Major parts missing or not working.</t>
        </is>
      </c>
    </row>
    <row r="11" ht="15" customHeight="1" s="14">
      <c r="A11" s="22" t="inlineStr">
        <is>
          <t>Total weight</t>
        </is>
      </c>
      <c r="B11" s="22">
        <f>SUM(B2:B10)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2" customWidth="1" style="14" min="1" max="1"/>
    <col width="38" customWidth="1" style="14" min="2" max="2"/>
    <col width="9" customWidth="1" style="14" min="3" max="3"/>
    <col width="9" customWidth="1" style="14" min="4" max="4"/>
    <col width="9" customWidth="1" style="14" min="5" max="5"/>
    <col width="9" customWidth="1" style="14" min="6" max="6"/>
    <col width="9" customWidth="1" style="14" min="7" max="7"/>
    <col width="9" customWidth="1" style="14" min="8" max="8"/>
    <col width="9" customWidth="1" style="14" min="9" max="9"/>
    <col width="9" customWidth="1" style="14" min="10" max="10"/>
  </cols>
  <sheetData>
    <row r="1">
      <c r="A1" s="23" t="inlineStr">
        <is>
          <t>NEW (v4) baseline items: enter Y or N per team</t>
        </is>
      </c>
    </row>
    <row r="3">
      <c r="A3" s="24" t="inlineStr">
        <is>
          <t>Baseline item</t>
        </is>
      </c>
      <c r="B3" s="24" t="inlineStr">
        <is>
          <t>Scored under</t>
        </is>
      </c>
      <c r="C3" s="24" t="inlineStr">
        <is>
          <t>Team 1</t>
        </is>
      </c>
      <c r="D3" s="24" t="inlineStr">
        <is>
          <t>Team 2</t>
        </is>
      </c>
      <c r="E3" s="24" t="inlineStr">
        <is>
          <t>Team 3</t>
        </is>
      </c>
      <c r="F3" s="24" t="inlineStr">
        <is>
          <t>Team 4</t>
        </is>
      </c>
      <c r="G3" s="24" t="inlineStr">
        <is>
          <t>Team 5</t>
        </is>
      </c>
      <c r="H3" s="24" t="inlineStr">
        <is>
          <t>Team 6</t>
        </is>
      </c>
      <c r="I3" s="24" t="inlineStr">
        <is>
          <t>Team 7</t>
        </is>
      </c>
      <c r="J3" s="24" t="inlineStr">
        <is>
          <t>Team 8</t>
        </is>
      </c>
    </row>
    <row r="4">
      <c r="A4" t="inlineStr">
        <is>
          <t>Modernisation step (characterisation tests first, reviewed PRs)</t>
        </is>
      </c>
      <c r="B4" t="inlineStr">
        <is>
          <t>Engineering quality</t>
        </is>
      </c>
      <c r="C4" s="25" t="n"/>
      <c r="D4" s="25" t="n"/>
      <c r="E4" s="25" t="n"/>
      <c r="F4" s="25" t="n"/>
      <c r="G4" s="25" t="n"/>
      <c r="H4" s="25" t="n"/>
      <c r="I4" s="25" t="n"/>
      <c r="J4" s="25" t="n"/>
    </row>
    <row r="5">
      <c r="A5" t="inlineStr">
        <is>
          <t>AGENTS.md in the team repo</t>
        </is>
      </c>
      <c r="B5" t="inlineStr">
        <is>
          <t>Engineering quality</t>
        </is>
      </c>
      <c r="C5" s="25" t="n"/>
      <c r="D5" s="25" t="n"/>
      <c r="E5" s="25" t="n"/>
      <c r="F5" s="25" t="n"/>
      <c r="G5" s="25" t="n"/>
      <c r="H5" s="25" t="n"/>
      <c r="I5" s="25" t="n"/>
      <c r="J5" s="25" t="n"/>
    </row>
    <row r="6">
      <c r="A6" t="inlineStr">
        <is>
          <t>Security checklist: OWASP Top 10 for Agentic Applications</t>
        </is>
      </c>
      <c r="B6" t="inlineStr">
        <is>
          <t>Security, guardrails and responsible AI</t>
        </is>
      </c>
      <c r="C6" s="25" t="n"/>
      <c r="D6" s="25" t="n"/>
      <c r="E6" s="25" t="n"/>
      <c r="F6" s="25" t="n"/>
      <c r="G6" s="25" t="n"/>
      <c r="H6" s="25" t="n"/>
      <c r="I6" s="25" t="n"/>
      <c r="J6" s="25" t="n"/>
    </row>
    <row r="7">
      <c r="A7" t="inlineStr">
        <is>
          <t>Vulnerability report (scans and red-team, fixed and verified)</t>
        </is>
      </c>
      <c r="B7" t="inlineStr">
        <is>
          <t>Security, guardrails and responsible AI</t>
        </is>
      </c>
      <c r="C7" s="25" t="n"/>
      <c r="D7" s="25" t="n"/>
      <c r="E7" s="25" t="n"/>
      <c r="F7" s="25" t="n"/>
      <c r="G7" s="25" t="n"/>
      <c r="H7" s="25" t="n"/>
      <c r="I7" s="25" t="n"/>
      <c r="J7" s="25" t="n"/>
    </row>
    <row r="8">
      <c r="A8" t="inlineStr">
        <is>
          <t>Token and cost report (placeholder prices labelled)</t>
        </is>
      </c>
      <c r="B8" t="inlineStr">
        <is>
          <t>Deployment and operations</t>
        </is>
      </c>
      <c r="C8" s="25" t="n"/>
      <c r="D8" s="25" t="n"/>
      <c r="E8" s="25" t="n"/>
      <c r="F8" s="25" t="n"/>
      <c r="G8" s="25" t="n"/>
      <c r="H8" s="25" t="n"/>
      <c r="I8" s="25" t="n"/>
      <c r="J8" s="25" t="n"/>
    </row>
    <row r="10">
      <c r="A10" t="inlineStr">
        <is>
          <t>Items present</t>
        </is>
      </c>
      <c r="C10">
        <f>COUNTIF(C4:C8,"Y")&amp;"/5"</f>
        <v/>
      </c>
      <c r="D10">
        <f>COUNTIF(D4:D8,"Y")&amp;"/5"</f>
        <v/>
      </c>
      <c r="E10">
        <f>COUNTIF(E4:E8,"Y")&amp;"/5"</f>
        <v/>
      </c>
      <c r="F10">
        <f>COUNTIF(F4:F8,"Y")&amp;"/5"</f>
        <v/>
      </c>
      <c r="G10">
        <f>COUNTIF(G4:G8,"Y")&amp;"/5"</f>
        <v/>
      </c>
      <c r="H10">
        <f>COUNTIF(H4:H8,"Y")&amp;"/5"</f>
        <v/>
      </c>
      <c r="I10">
        <f>COUNTIF(I4:I8,"Y")&amp;"/5"</f>
        <v/>
      </c>
      <c r="J10">
        <f>COUNTIF(J4:J8,"Y")&amp;"/5"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inlineStr">
        <is>
          <t>Example team (replace)</t>
        </is>
      </c>
    </row>
    <row r="2" ht="15" customHeight="1" s="14">
      <c r="A2" s="22" t="inlineStr">
        <is>
          <t>Project</t>
        </is>
      </c>
      <c r="B2" s="26" t="inlineStr">
        <is>
          <t>PolicyPal: Enterprise HR and IT Policy Chatbot</t>
        </is>
      </c>
    </row>
    <row r="3" ht="15" customHeight="1" s="14">
      <c r="A3" s="22" t="inlineStr">
        <is>
          <t>Evaluator</t>
        </is>
      </c>
      <c r="B3" s="26" t="inlineStr">
        <is>
          <t>Evaluator name</t>
        </is>
      </c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>
        <v>3</v>
      </c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>
        <v>3</v>
      </c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>
        <v>3</v>
      </c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>
        <v>2</v>
      </c>
      <c r="D9" s="20">
        <f>IF(C9="","",B9*C9/4)</f>
        <v/>
      </c>
      <c r="E9" s="27" t="inlineStr">
        <is>
          <t>Golden set of 24 items; faithfulness 0.86; no Japanese slice yet.</t>
        </is>
      </c>
    </row>
    <row r="10" ht="15" customHeight="1" s="14">
      <c r="A10" s="20">
        <f>Rubric!A6</f>
        <v/>
      </c>
      <c r="B10" s="20">
        <f>Rubric!B6</f>
        <v/>
      </c>
      <c r="C10" s="26" t="n">
        <v>3</v>
      </c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>
        <v>2</v>
      </c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>
        <v>3</v>
      </c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>
        <v>4</v>
      </c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>
        <v>3</v>
      </c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n"/>
    </row>
    <row r="2" ht="15" customHeight="1" s="14">
      <c r="A2" s="22" t="inlineStr">
        <is>
          <t>Project</t>
        </is>
      </c>
      <c r="B2" s="26" t="n"/>
    </row>
    <row r="3" ht="15" customHeight="1" s="14">
      <c r="A3" s="22" t="inlineStr">
        <is>
          <t>Evaluator</t>
        </is>
      </c>
      <c r="B3" s="26" t="n"/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/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/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/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/>
      <c r="D9" s="20">
        <f>IF(C9="","",B9*C9/4)</f>
        <v/>
      </c>
      <c r="E9" s="27" t="n"/>
    </row>
    <row r="10" ht="15" customHeight="1" s="14">
      <c r="A10" s="20">
        <f>Rubric!A6</f>
        <v/>
      </c>
      <c r="B10" s="20">
        <f>Rubric!B6</f>
        <v/>
      </c>
      <c r="C10" s="26" t="n"/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/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/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/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/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n"/>
    </row>
    <row r="2" ht="15" customHeight="1" s="14">
      <c r="A2" s="22" t="inlineStr">
        <is>
          <t>Project</t>
        </is>
      </c>
      <c r="B2" s="26" t="n"/>
    </row>
    <row r="3" ht="15" customHeight="1" s="14">
      <c r="A3" s="22" t="inlineStr">
        <is>
          <t>Evaluator</t>
        </is>
      </c>
      <c r="B3" s="26" t="n"/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/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/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/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/>
      <c r="D9" s="20">
        <f>IF(C9="","",B9*C9/4)</f>
        <v/>
      </c>
      <c r="E9" s="27" t="n"/>
    </row>
    <row r="10" ht="15" customHeight="1" s="14">
      <c r="A10" s="20">
        <f>Rubric!A6</f>
        <v/>
      </c>
      <c r="B10" s="20">
        <f>Rubric!B6</f>
        <v/>
      </c>
      <c r="C10" s="26" t="n"/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/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/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/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/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n"/>
    </row>
    <row r="2" ht="15" customHeight="1" s="14">
      <c r="A2" s="22" t="inlineStr">
        <is>
          <t>Project</t>
        </is>
      </c>
      <c r="B2" s="26" t="n"/>
    </row>
    <row r="3" ht="15" customHeight="1" s="14">
      <c r="A3" s="22" t="inlineStr">
        <is>
          <t>Evaluator</t>
        </is>
      </c>
      <c r="B3" s="26" t="n"/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/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/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/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/>
      <c r="D9" s="20">
        <f>IF(C9="","",B9*C9/4)</f>
        <v/>
      </c>
      <c r="E9" s="27" t="n"/>
    </row>
    <row r="10" ht="15" customHeight="1" s="14">
      <c r="A10" s="20">
        <f>Rubric!A6</f>
        <v/>
      </c>
      <c r="B10" s="20">
        <f>Rubric!B6</f>
        <v/>
      </c>
      <c r="C10" s="26" t="n"/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/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/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/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/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n"/>
    </row>
    <row r="2" ht="15" customHeight="1" s="14">
      <c r="A2" s="22" t="inlineStr">
        <is>
          <t>Project</t>
        </is>
      </c>
      <c r="B2" s="26" t="n"/>
    </row>
    <row r="3" ht="15" customHeight="1" s="14">
      <c r="A3" s="22" t="inlineStr">
        <is>
          <t>Evaluator</t>
        </is>
      </c>
      <c r="B3" s="26" t="n"/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/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/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/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/>
      <c r="D9" s="20">
        <f>IF(C9="","",B9*C9/4)</f>
        <v/>
      </c>
      <c r="E9" s="27" t="n"/>
    </row>
    <row r="10" ht="15" customHeight="1" s="14">
      <c r="A10" s="20">
        <f>Rubric!A6</f>
        <v/>
      </c>
      <c r="B10" s="20">
        <f>Rubric!B6</f>
        <v/>
      </c>
      <c r="C10" s="26" t="n"/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/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/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/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/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n"/>
    </row>
    <row r="2" ht="15" customHeight="1" s="14">
      <c r="A2" s="22" t="inlineStr">
        <is>
          <t>Project</t>
        </is>
      </c>
      <c r="B2" s="26" t="n"/>
    </row>
    <row r="3" ht="15" customHeight="1" s="14">
      <c r="A3" s="22" t="inlineStr">
        <is>
          <t>Evaluator</t>
        </is>
      </c>
      <c r="B3" s="26" t="n"/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/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/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/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/>
      <c r="D9" s="20">
        <f>IF(C9="","",B9*C9/4)</f>
        <v/>
      </c>
      <c r="E9" s="27" t="n"/>
    </row>
    <row r="10" ht="15" customHeight="1" s="14">
      <c r="A10" s="20">
        <f>Rubric!A6</f>
        <v/>
      </c>
      <c r="B10" s="20">
        <f>Rubric!B6</f>
        <v/>
      </c>
      <c r="C10" s="26" t="n"/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/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/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/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/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n"/>
    </row>
    <row r="2" ht="15" customHeight="1" s="14">
      <c r="A2" s="22" t="inlineStr">
        <is>
          <t>Project</t>
        </is>
      </c>
      <c r="B2" s="26" t="n"/>
    </row>
    <row r="3" ht="15" customHeight="1" s="14">
      <c r="A3" s="22" t="inlineStr">
        <is>
          <t>Evaluator</t>
        </is>
      </c>
      <c r="B3" s="26" t="n"/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/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/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/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/>
      <c r="D9" s="20">
        <f>IF(C9="","",B9*C9/4)</f>
        <v/>
      </c>
      <c r="E9" s="27" t="n"/>
    </row>
    <row r="10" ht="15" customHeight="1" s="14">
      <c r="A10" s="20">
        <f>Rubric!A6</f>
        <v/>
      </c>
      <c r="B10" s="20">
        <f>Rubric!B6</f>
        <v/>
      </c>
      <c r="C10" s="26" t="n"/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/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/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/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/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E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9" customWidth="1" style="13" min="2" max="2"/>
    <col width="14" customWidth="1" style="13" min="3" max="3"/>
    <col width="10" customWidth="1" style="13" min="4" max="4"/>
    <col width="70" customWidth="1" style="13" min="5" max="5"/>
  </cols>
  <sheetData>
    <row r="1" ht="15" customHeight="1" s="14">
      <c r="A1" s="22" t="inlineStr">
        <is>
          <t>Team name</t>
        </is>
      </c>
      <c r="B1" s="26" t="n"/>
    </row>
    <row r="2" ht="15" customHeight="1" s="14">
      <c r="A2" s="22" t="inlineStr">
        <is>
          <t>Project</t>
        </is>
      </c>
      <c r="B2" s="26" t="n"/>
    </row>
    <row r="3" ht="15" customHeight="1" s="14">
      <c r="A3" s="22" t="inlineStr">
        <is>
          <t>Evaluator</t>
        </is>
      </c>
      <c r="B3" s="26" t="n"/>
    </row>
    <row r="5" ht="15" customHeight="1" s="14">
      <c r="A5" s="19" t="inlineStr">
        <is>
          <t>Criterion</t>
        </is>
      </c>
      <c r="B5" s="19" t="inlineStr">
        <is>
          <t>Weight</t>
        </is>
      </c>
      <c r="C5" s="19" t="inlineStr">
        <is>
          <t>Level (1 to 4)</t>
        </is>
      </c>
      <c r="D5" s="19" t="inlineStr">
        <is>
          <t>Points</t>
        </is>
      </c>
      <c r="E5" s="19" t="inlineStr">
        <is>
          <t>Evidence notes</t>
        </is>
      </c>
    </row>
    <row r="6" ht="15" customHeight="1" s="14">
      <c r="A6" s="20">
        <f>Rubric!A2</f>
        <v/>
      </c>
      <c r="B6" s="20">
        <f>Rubric!B2</f>
        <v/>
      </c>
      <c r="C6" s="26" t="n"/>
      <c r="D6" s="20">
        <f>IF(C6="","",B6*C6/4)</f>
        <v/>
      </c>
      <c r="E6" s="27" t="n"/>
    </row>
    <row r="7" ht="15" customHeight="1" s="14">
      <c r="A7" s="20">
        <f>Rubric!A3</f>
        <v/>
      </c>
      <c r="B7" s="20">
        <f>Rubric!B3</f>
        <v/>
      </c>
      <c r="C7" s="26" t="n"/>
      <c r="D7" s="20">
        <f>IF(C7="","",B7*C7/4)</f>
        <v/>
      </c>
      <c r="E7" s="27" t="n"/>
    </row>
    <row r="8" ht="15" customHeight="1" s="14">
      <c r="A8" s="20">
        <f>Rubric!A4</f>
        <v/>
      </c>
      <c r="B8" s="20">
        <f>Rubric!B4</f>
        <v/>
      </c>
      <c r="C8" s="26" t="n"/>
      <c r="D8" s="20">
        <f>IF(C8="","",B8*C8/4)</f>
        <v/>
      </c>
      <c r="E8" s="27" t="n"/>
    </row>
    <row r="9" ht="15" customHeight="1" s="14">
      <c r="A9" s="20">
        <f>Rubric!A5</f>
        <v/>
      </c>
      <c r="B9" s="20">
        <f>Rubric!B5</f>
        <v/>
      </c>
      <c r="C9" s="26" t="n"/>
      <c r="D9" s="20">
        <f>IF(C9="","",B9*C9/4)</f>
        <v/>
      </c>
      <c r="E9" s="27" t="n"/>
    </row>
    <row r="10" ht="15" customHeight="1" s="14">
      <c r="A10" s="20">
        <f>Rubric!A6</f>
        <v/>
      </c>
      <c r="B10" s="20">
        <f>Rubric!B6</f>
        <v/>
      </c>
      <c r="C10" s="26" t="n"/>
      <c r="D10" s="20">
        <f>IF(C10="","",B10*C10/4)</f>
        <v/>
      </c>
      <c r="E10" s="27" t="n"/>
    </row>
    <row r="11" ht="15" customHeight="1" s="14">
      <c r="A11" s="20">
        <f>Rubric!A7</f>
        <v/>
      </c>
      <c r="B11" s="20">
        <f>Rubric!B7</f>
        <v/>
      </c>
      <c r="C11" s="26" t="n"/>
      <c r="D11" s="20">
        <f>IF(C11="","",B11*C11/4)</f>
        <v/>
      </c>
      <c r="E11" s="27" t="n"/>
    </row>
    <row r="12" ht="15" customHeight="1" s="14">
      <c r="A12" s="20">
        <f>Rubric!A8</f>
        <v/>
      </c>
      <c r="B12" s="20">
        <f>Rubric!B8</f>
        <v/>
      </c>
      <c r="C12" s="26" t="n"/>
      <c r="D12" s="20">
        <f>IF(C12="","",B12*C12/4)</f>
        <v/>
      </c>
      <c r="E12" s="27" t="n"/>
    </row>
    <row r="13" ht="15" customHeight="1" s="14">
      <c r="A13" s="20">
        <f>Rubric!A9</f>
        <v/>
      </c>
      <c r="B13" s="20">
        <f>Rubric!B9</f>
        <v/>
      </c>
      <c r="C13" s="26" t="n"/>
      <c r="D13" s="20">
        <f>IF(C13="","",B13*C13/4)</f>
        <v/>
      </c>
      <c r="E13" s="27" t="n"/>
    </row>
    <row r="14" ht="15" customHeight="1" s="14">
      <c r="A14" s="20">
        <f>Rubric!A10</f>
        <v/>
      </c>
      <c r="B14" s="20">
        <f>Rubric!B10</f>
        <v/>
      </c>
      <c r="C14" s="26" t="n"/>
      <c r="D14" s="20">
        <f>IF(C14="","",B14*C14/4)</f>
        <v/>
      </c>
      <c r="E14" s="27" t="n"/>
    </row>
    <row r="16" ht="15" customHeight="1" s="14">
      <c r="A16" s="22" t="inlineStr">
        <is>
          <t>Total (out of 100)</t>
        </is>
      </c>
      <c r="D16" s="28">
        <f>IF(COUNT(C6:C14)=0,"",SUM(D6:D14))</f>
        <v/>
      </c>
    </row>
    <row r="17" ht="15" customHeight="1" s="14">
      <c r="A17" s="22" t="inlineStr">
        <is>
          <t>Grade band</t>
        </is>
      </c>
      <c r="D17" s="28">
        <f>IF(D16="","",IF(D16&gt;=85,"Distinction",IF(D16&gt;=70,"Merit",IF(D16&gt;=55,"Pass","Needs resubmission"))))</f>
        <v/>
      </c>
    </row>
    <row r="18" ht="15" customHeight="1" s="14">
      <c r="A18" s="29" t="inlineStr">
        <is>
          <t>Criteria scored</t>
        </is>
      </c>
      <c r="D18" s="29">
        <f>COUNT(C6:C14)&amp;"/9"</f>
        <v/>
      </c>
    </row>
  </sheetData>
  <dataValidations count="1">
    <dataValidation sqref="C6:C14" showDropDown="0" showInputMessage="0" showErrorMessage="1" allowBlank="1" error="Enter a whole number from 1 to 4" type="whole" errorStyle="stop" operator="between">
      <formula1>1</formula1>
      <formula2>4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2026-10-04T03:43:19Z</dcterms:created>
  <dcterms:modified xmlns:dcterms="http://purl.org/dc/terms/" xmlns:xsi="http://www.w3.org/2001/XMLSchema-instance" xsi:type="dcterms:W3CDTF">2026-10-22T02:59:39Z</dcterms:modified>
  <cp:revision>0</cp:revision>
</cp:coreProperties>
</file>