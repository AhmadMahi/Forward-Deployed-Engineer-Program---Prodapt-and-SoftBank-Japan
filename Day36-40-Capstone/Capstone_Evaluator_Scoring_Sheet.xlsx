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ummary" sheetId="2" state="visible" r:id="rId4"/>
    <sheet name="Rubric" sheetId="3" state="visible" r:id="rId5"/>
    <sheet name="Team 1" sheetId="4" state="visible" r:id="rId6"/>
    <sheet name="Team 2" sheetId="5" state="visible" r:id="rId7"/>
    <sheet name="Team 3" sheetId="6" state="visible" r:id="rId8"/>
    <sheet name="Team 4" sheetId="7" state="visible" r:id="rId9"/>
    <sheet name="Team 5" sheetId="8" state="visible" r:id="rId10"/>
    <sheet name="Team 6" sheetId="9" state="visible" r:id="rId11"/>
    <sheet name="Team 7" sheetId="10" state="visible" r:id="rId12"/>
    <sheet name="Team 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<sst xmlns="http://schemas.openxmlformats.org/spreadsheetml/2006/main" count="179" uniqueCount="63">
  <si>
    <t xml:space="preserve">Capstone Evaluator Scoring Workbook (Days 36 to 40)</t>
  </si>
  <si>
    <t xml:space="preserve">Prepared by Ahmed | linkedin.com/in/ahmed-al-imaad</t>
  </si>
  <si>
    <t xml:space="preserve">How to use:</t>
  </si>
  <si>
    <t xml:space="preserve">1. Open a Team sheet. Enter team name, project and evaluator in the yellow cells at the top.</t>
  </si>
  <si>
    <t xml:space="preserve">2. For each criterion, enter a level from 1 to 4 in the yellow Level column (4 Excellent, 3 Good, 2 Developing, 1 Beginning).</t>
  </si>
  <si>
    <t xml:space="preserve">3. Points are calculated automatically: weight x level / 4. The total and grade band update automatically.</t>
  </si>
  <si>
    <t xml:space="preserve">4. Add short evidence notes for every score: what you saw in the demo, repository or evaluation report.</t>
  </si>
  <si>
    <t xml:space="preserve">5. The Summary sheet collects every team's total and grade.</t>
  </si>
  <si>
    <t xml:space="preserve">Yellow cells = inputs. White and teal cells = formulas, do not edit.</t>
  </si>
  <si>
    <t xml:space="preserve">Team 1 contains an example of filled-in scores to show the expected format. Replace it with real scores.</t>
  </si>
  <si>
    <t xml:space="preserve">Grade bands: 85 to 100 Distinction, 70 to 84 Merit, 55 to 69 Pass, below 55 Needs resubmission (from the Capstone Guide).</t>
  </si>
  <si>
    <t xml:space="preserve">Team</t>
  </si>
  <si>
    <t xml:space="preserve">Team name</t>
  </si>
  <si>
    <t xml:space="preserve">Project</t>
  </si>
  <si>
    <t xml:space="preserve">Total (out of 100)</t>
  </si>
  <si>
    <t xml:space="preserve">Grade band</t>
  </si>
  <si>
    <t xml:space="preserve">Criteria scored</t>
  </si>
  <si>
    <t xml:space="preserve">Team 1</t>
  </si>
  <si>
    <t xml:space="preserve">Team 2</t>
  </si>
  <si>
    <t xml:space="preserve">Team 3</t>
  </si>
  <si>
    <t xml:space="preserve">Team 4</t>
  </si>
  <si>
    <t xml:space="preserve">Team 5</t>
  </si>
  <si>
    <t xml:space="preserve">Team 6</t>
  </si>
  <si>
    <t xml:space="preserve">Team 7</t>
  </si>
  <si>
    <t xml:space="preserve">Team 8</t>
  </si>
  <si>
    <t xml:space="preserve">Criterion</t>
  </si>
  <si>
    <t xml:space="preserve">Weight</t>
  </si>
  <si>
    <t xml:space="preserve">What evaluators look for</t>
  </si>
  <si>
    <t xml:space="preserve">4 Excellent</t>
  </si>
  <si>
    <t xml:space="preserve">3 Good</t>
  </si>
  <si>
    <t xml:space="preserve">2 Developing</t>
  </si>
  <si>
    <t xml:space="preserve">1 Beginning</t>
  </si>
  <si>
    <t xml:space="preserve">Problem understanding and scoping</t>
  </si>
  <si>
    <t xml:space="preserve">Clear problem statement, users, success metrics, assumptions log, agreed MVP scope (Days 15, 20).</t>
  </si>
  <si>
    <t xml:space="preserve">Goes beyond the brief; production-minded; evidence for every claim.</t>
  </si>
  <si>
    <t xml:space="preserve">Meets the brief fully with minor gaps.</t>
  </si>
  <si>
    <t xml:space="preserve">Partly meets the brief; important gaps or untested parts.</t>
  </si>
  <si>
    <t xml:space="preserve">Major parts missing or not working.</t>
  </si>
  <si>
    <t xml:space="preserve">Architecture and design</t>
  </si>
  <si>
    <t xml:space="preserve">Sensible architecture diagram, layered code, right tool choices with reasons, data model (Days 4, 6, 7, 22, 33).</t>
  </si>
  <si>
    <t xml:space="preserve">Core functionality</t>
  </si>
  <si>
    <t xml:space="preserve">All must-have features work end to end in the demo; project checklist items delivered.</t>
  </si>
  <si>
    <t xml:space="preserve">AI and data quality</t>
  </si>
  <si>
    <t xml:space="preserve">Golden set of at least 20 items, measured metrics (retrieval, faithfulness or recommendation quality), error analysis (Days 23, 29, 30).</t>
  </si>
  <si>
    <t xml:space="preserve">Engineering quality</t>
  </si>
  <si>
    <t xml:space="preserve">Readable code, tests (API, pipeline, prompts), Git history with pull requests, CI pipeline green (Days 13, 17, 18).</t>
  </si>
  <si>
    <t xml:space="preserve">Security, guardrails and responsible AI</t>
  </si>
  <si>
    <t xml:space="preserve">Input and output guardrails, secrets handling, least privilege, a red-team check, fairness or language slice check (Days 8, 28).</t>
  </si>
  <si>
    <t xml:space="preserve">Deployment and operations</t>
  </si>
  <si>
    <t xml:space="preserve">Containerised, deployable (Azure or documented), structured logs, a dashboard or report, one drift or quality check (Days 19, 31 to 35).</t>
  </si>
  <si>
    <t xml:space="preserve">Demo and communication</t>
  </si>
  <si>
    <t xml:space="preserve">Answer-first readout, live demo, honest limits, confident Q&amp;A, clear handover README (Days 15, 20, 24).</t>
  </si>
  <si>
    <t xml:space="preserve">Teamwork and process</t>
  </si>
  <si>
    <t xml:space="preserve">Daily stand-ups, decision log, fair contribution, kind and specific feedback (Days 15, 24, 31).</t>
  </si>
  <si>
    <t xml:space="preserve">Total weight</t>
  </si>
  <si>
    <t xml:space="preserve">Example team (replace)</t>
  </si>
  <si>
    <t xml:space="preserve">PolicyPal: Enterprise HR and IT Policy Chatbot</t>
  </si>
  <si>
    <t xml:space="preserve">Evaluator</t>
  </si>
  <si>
    <t xml:space="preserve">Evaluator name</t>
  </si>
  <si>
    <t xml:space="preserve">Level (1 to 4)</t>
  </si>
  <si>
    <t xml:space="preserve">Points</t>
  </si>
  <si>
    <t xml:space="preserve">Evidence notes</t>
  </si>
  <si>
    <t xml:space="preserve">Golden set of 24 items; faithfulness 0.86; no Japanese slice yet.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</si>
</sst>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A3A3"/>
        <bgColor rgb="FF008080"/>
      </patternFill>
    </fill>
    <fill>
      <patternFill patternType="solid">
        <fgColor rgb="FFFFF4CC"/>
        <bgColor rgb="FFFFFFFF"/>
      </patternFill>
    </fill>
    <fill>
      <patternFill patternType="solid">
        <fgColor rgb="FFE3F6F5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ED9D4"/>
      </left>
      <right style="thin">
        <color rgb="FF9ED9D4"/>
      </right>
      <top style="thin">
        <color rgb="FF9ED9D4"/>
      </top>
      <bottom style="thin">
        <color rgb="FF9ED9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E3F6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ED9D4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FA3A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 t="s">
        <v>6</v>
      </c>
    </row>
    <row r="9" customFormat="false" ht="15" hidden="false" customHeight="true" outlineLevel="0" collapsed="false">
      <c r="A9" s="3" t="s">
        <v>7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20"/>
    <col collapsed="false" customWidth="true" hidden="false" outlineLevel="0" max="6" min="6" style="1" width="14"/>
  </cols>
  <sheetData>
    <row r="1" customFormat="false" ht="26.25" hidden="false" customHeight="true" outlineLevel="0" collapsed="false">
      <c r="A1" s="5" t="s">
        <v>11</v>
      </c>
      <c r="B1" s="5" t="s">
        <v>12</v>
      </c>
      <c r="C1" s="5" t="s">
        <v>13</v>
      </c>
      <c r="D1" s="5" t="s">
        <v>14</v>
      </c>
      <c r="E1" s="5" t="s">
        <v>15</v>
      </c>
      <c r="F1" s="5" t="s">
        <v>16</v>
      </c>
    </row>
    <row r="2" customFormat="false" ht="15" hidden="false" customHeight="true" outlineLevel="0" collapsed="false">
      <c r="A2" s="6" t="s">
        <v>17</v>
      </c>
      <c r="B2" s="6" t="str">
        <f aca="false">IF('Team 1'!B1="","",'Team 1'!B1)</f>
        <v>Example team (replace)</v>
      </c>
      <c r="C2" s="6" t="str">
        <f aca="false">IF('Team 1'!B2="","",'Team 1'!B2)</f>
        <v>PolicyPal: Enterprise HR and IT Policy Chatbot</v>
      </c>
      <c r="D2" s="6" t="n">
        <f aca="false">'Team 1'!D16</f>
        <v>71.25</v>
      </c>
      <c r="E2" s="6" t="str">
        <f aca="false">'Team 1'!D17</f>
        <v>Merit</v>
      </c>
      <c r="F2" s="6" t="str">
        <f aca="false">'Team 1'!D18</f>
        <v>9/9</v>
      </c>
    </row>
    <row r="3" customFormat="false" ht="15" hidden="false" customHeight="true" outlineLevel="0" collapsed="false">
      <c r="A3" s="6" t="s">
        <v>18</v>
      </c>
      <c r="B3" s="6" t="str">
        <f aca="false">IF('Team 2'!B1="","",'Team 2'!B1)</f>
        <v/>
      </c>
      <c r="C3" s="6" t="str">
        <f aca="false">IF('Team 2'!B2="","",'Team 2'!B2)</f>
        <v/>
      </c>
      <c r="D3" s="6" t="str">
        <f aca="false">'Team 2'!D16</f>
        <v/>
      </c>
      <c r="E3" s="6" t="str">
        <f aca="false">'Team 2'!D17</f>
        <v/>
      </c>
      <c r="F3" s="6" t="str">
        <f aca="false">'Team 2'!D18</f>
        <v>0/9</v>
      </c>
    </row>
    <row r="4" customFormat="false" ht="15" hidden="false" customHeight="true" outlineLevel="0" collapsed="false">
      <c r="A4" s="6" t="s">
        <v>19</v>
      </c>
      <c r="B4" s="6" t="str">
        <f aca="false">IF('Team 3'!B1="","",'Team 3'!B1)</f>
        <v/>
      </c>
      <c r="C4" s="6" t="str">
        <f aca="false">IF('Team 3'!B2="","",'Team 3'!B2)</f>
        <v/>
      </c>
      <c r="D4" s="6" t="str">
        <f aca="false">'Team 3'!D16</f>
        <v/>
      </c>
      <c r="E4" s="6" t="str">
        <f aca="false">'Team 3'!D17</f>
        <v/>
      </c>
      <c r="F4" s="6" t="str">
        <f aca="false">'Team 3'!D18</f>
        <v>0/9</v>
      </c>
    </row>
    <row r="5" customFormat="false" ht="15" hidden="false" customHeight="true" outlineLevel="0" collapsed="false">
      <c r="A5" s="6" t="s">
        <v>20</v>
      </c>
      <c r="B5" s="6" t="str">
        <f aca="false">IF('Team 4'!B1="","",'Team 4'!B1)</f>
        <v/>
      </c>
      <c r="C5" s="6" t="str">
        <f aca="false">IF('Team 4'!B2="","",'Team 4'!B2)</f>
        <v/>
      </c>
      <c r="D5" s="6" t="str">
        <f aca="false">'Team 4'!D16</f>
        <v/>
      </c>
      <c r="E5" s="6" t="str">
        <f aca="false">'Team 4'!D17</f>
        <v/>
      </c>
      <c r="F5" s="6" t="str">
        <f aca="false">'Team 4'!D18</f>
        <v>0/9</v>
      </c>
    </row>
    <row r="6" customFormat="false" ht="15" hidden="false" customHeight="true" outlineLevel="0" collapsed="false">
      <c r="A6" s="6" t="s">
        <v>21</v>
      </c>
      <c r="B6" s="6" t="str">
        <f aca="false">IF('Team 5'!B1="","",'Team 5'!B1)</f>
        <v/>
      </c>
      <c r="C6" s="6" t="str">
        <f aca="false">IF('Team 5'!B2="","",'Team 5'!B2)</f>
        <v/>
      </c>
      <c r="D6" s="6" t="str">
        <f aca="false">'Team 5'!D16</f>
        <v/>
      </c>
      <c r="E6" s="6" t="str">
        <f aca="false">'Team 5'!D17</f>
        <v/>
      </c>
      <c r="F6" s="6" t="str">
        <f aca="false">'Team 5'!D18</f>
        <v>0/9</v>
      </c>
    </row>
    <row r="7" customFormat="false" ht="15" hidden="false" customHeight="true" outlineLevel="0" collapsed="false">
      <c r="A7" s="6" t="s">
        <v>22</v>
      </c>
      <c r="B7" s="6" t="str">
        <f aca="false">IF('Team 6'!B1="","",'Team 6'!B1)</f>
        <v/>
      </c>
      <c r="C7" s="6" t="str">
        <f aca="false">IF('Team 6'!B2="","",'Team 6'!B2)</f>
        <v/>
      </c>
      <c r="D7" s="6" t="str">
        <f aca="false">'Team 6'!D16</f>
        <v/>
      </c>
      <c r="E7" s="6" t="str">
        <f aca="false">'Team 6'!D17</f>
        <v/>
      </c>
      <c r="F7" s="6" t="str">
        <f aca="false">'Team 6'!D18</f>
        <v>0/9</v>
      </c>
    </row>
    <row r="8" customFormat="false" ht="15" hidden="false" customHeight="true" outlineLevel="0" collapsed="false">
      <c r="A8" s="6" t="s">
        <v>23</v>
      </c>
      <c r="B8" s="6" t="str">
        <f aca="false">IF('Team 7'!B1="","",'Team 7'!B1)</f>
        <v/>
      </c>
      <c r="C8" s="6" t="str">
        <f aca="false">IF('Team 7'!B2="","",'Team 7'!B2)</f>
        <v/>
      </c>
      <c r="D8" s="6" t="str">
        <f aca="false">'Team 7'!D16</f>
        <v/>
      </c>
      <c r="E8" s="6" t="str">
        <f aca="false">'Team 7'!D17</f>
        <v/>
      </c>
      <c r="F8" s="6" t="str">
        <f aca="false">'Team 7'!D18</f>
        <v>0/9</v>
      </c>
    </row>
    <row r="9" customFormat="false" ht="15" hidden="false" customHeight="true" outlineLevel="0" collapsed="false">
      <c r="A9" s="6" t="s">
        <v>24</v>
      </c>
      <c r="B9" s="6" t="str">
        <f aca="false">IF('Team 8'!B1="","",'Team 8'!B1)</f>
        <v/>
      </c>
      <c r="C9" s="6" t="str">
        <f aca="false">IF('Team 8'!B2="","",'Team 8'!B2)</f>
        <v/>
      </c>
      <c r="D9" s="6" t="str">
        <f aca="false">'Team 8'!D16</f>
        <v/>
      </c>
      <c r="E9" s="6" t="str">
        <f aca="false">'Team 8'!D17</f>
        <v/>
      </c>
      <c r="F9" s="6" t="str">
        <f aca="false">'Team 8'!D18</f>
        <v>0/9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9"/>
    <col collapsed="false" customWidth="true" hidden="false" outlineLevel="0" max="3" min="3" style="1" width="70"/>
    <col collapsed="false" customWidth="true" hidden="false" outlineLevel="0" max="7" min="4" style="1" width="26"/>
  </cols>
  <sheetData>
    <row r="1" customFormat="false" ht="15" hidden="false" customHeight="true" outlineLevel="0" collapsed="false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</row>
    <row r="2" customFormat="false" ht="39" hidden="false" customHeight="true" outlineLevel="0" collapsed="false">
      <c r="A2" s="7" t="s">
        <v>32</v>
      </c>
      <c r="B2" s="7" t="n">
        <v>10</v>
      </c>
      <c r="C2" s="7" t="s">
        <v>33</v>
      </c>
      <c r="D2" s="7" t="s">
        <v>34</v>
      </c>
      <c r="E2" s="7" t="s">
        <v>35</v>
      </c>
      <c r="F2" s="7" t="s">
        <v>36</v>
      </c>
      <c r="G2" s="7" t="s">
        <v>37</v>
      </c>
    </row>
    <row r="3" customFormat="false" ht="39" hidden="false" customHeight="true" outlineLevel="0" collapsed="false">
      <c r="A3" s="7" t="s">
        <v>38</v>
      </c>
      <c r="B3" s="7" t="n">
        <v>10</v>
      </c>
      <c r="C3" s="7" t="s">
        <v>39</v>
      </c>
      <c r="D3" s="7" t="s">
        <v>34</v>
      </c>
      <c r="E3" s="7" t="s">
        <v>35</v>
      </c>
      <c r="F3" s="7" t="s">
        <v>36</v>
      </c>
      <c r="G3" s="7" t="s">
        <v>37</v>
      </c>
    </row>
    <row r="4" customFormat="false" ht="39" hidden="false" customHeight="true" outlineLevel="0" collapsed="false">
      <c r="A4" s="7" t="s">
        <v>40</v>
      </c>
      <c r="B4" s="7" t="n">
        <v>20</v>
      </c>
      <c r="C4" s="7" t="s">
        <v>41</v>
      </c>
      <c r="D4" s="7" t="s">
        <v>34</v>
      </c>
      <c r="E4" s="7" t="s">
        <v>35</v>
      </c>
      <c r="F4" s="7" t="s">
        <v>36</v>
      </c>
      <c r="G4" s="7" t="s">
        <v>37</v>
      </c>
    </row>
    <row r="5" customFormat="false" ht="39" hidden="false" customHeight="true" outlineLevel="0" collapsed="false">
      <c r="A5" s="7" t="s">
        <v>42</v>
      </c>
      <c r="B5" s="7" t="n">
        <v>15</v>
      </c>
      <c r="C5" s="7" t="s">
        <v>43</v>
      </c>
      <c r="D5" s="7" t="s">
        <v>34</v>
      </c>
      <c r="E5" s="7" t="s">
        <v>35</v>
      </c>
      <c r="F5" s="7" t="s">
        <v>36</v>
      </c>
      <c r="G5" s="7" t="s">
        <v>37</v>
      </c>
    </row>
    <row r="6" customFormat="false" ht="39" hidden="false" customHeight="true" outlineLevel="0" collapsed="false">
      <c r="A6" s="7" t="s">
        <v>44</v>
      </c>
      <c r="B6" s="7" t="n">
        <v>10</v>
      </c>
      <c r="C6" s="7" t="s">
        <v>45</v>
      </c>
      <c r="D6" s="7" t="s">
        <v>34</v>
      </c>
      <c r="E6" s="7" t="s">
        <v>35</v>
      </c>
      <c r="F6" s="7" t="s">
        <v>36</v>
      </c>
      <c r="G6" s="7" t="s">
        <v>37</v>
      </c>
    </row>
    <row r="7" customFormat="false" ht="39" hidden="false" customHeight="true" outlineLevel="0" collapsed="false">
      <c r="A7" s="7" t="s">
        <v>46</v>
      </c>
      <c r="B7" s="7" t="n">
        <v>10</v>
      </c>
      <c r="C7" s="7" t="s">
        <v>47</v>
      </c>
      <c r="D7" s="7" t="s">
        <v>34</v>
      </c>
      <c r="E7" s="7" t="s">
        <v>35</v>
      </c>
      <c r="F7" s="7" t="s">
        <v>36</v>
      </c>
      <c r="G7" s="7" t="s">
        <v>37</v>
      </c>
    </row>
    <row r="8" customFormat="false" ht="39" hidden="false" customHeight="true" outlineLevel="0" collapsed="false">
      <c r="A8" s="7" t="s">
        <v>48</v>
      </c>
      <c r="B8" s="7" t="n">
        <v>10</v>
      </c>
      <c r="C8" s="7" t="s">
        <v>49</v>
      </c>
      <c r="D8" s="7" t="s">
        <v>34</v>
      </c>
      <c r="E8" s="7" t="s">
        <v>35</v>
      </c>
      <c r="F8" s="7" t="s">
        <v>36</v>
      </c>
      <c r="G8" s="7" t="s">
        <v>37</v>
      </c>
    </row>
    <row r="9" customFormat="false" ht="39" hidden="false" customHeight="true" outlineLevel="0" collapsed="false">
      <c r="A9" s="7" t="s">
        <v>50</v>
      </c>
      <c r="B9" s="7" t="n">
        <v>10</v>
      </c>
      <c r="C9" s="7" t="s">
        <v>51</v>
      </c>
      <c r="D9" s="7" t="s">
        <v>34</v>
      </c>
      <c r="E9" s="7" t="s">
        <v>35</v>
      </c>
      <c r="F9" s="7" t="s">
        <v>36</v>
      </c>
      <c r="G9" s="7" t="s">
        <v>37</v>
      </c>
    </row>
    <row r="10" customFormat="false" ht="39" hidden="false" customHeight="true" outlineLevel="0" collapsed="false">
      <c r="A10" s="7" t="s">
        <v>52</v>
      </c>
      <c r="B10" s="7" t="n">
        <v>5</v>
      </c>
      <c r="C10" s="7" t="s">
        <v>53</v>
      </c>
      <c r="D10" s="7" t="s">
        <v>34</v>
      </c>
      <c r="E10" s="7" t="s">
        <v>35</v>
      </c>
      <c r="F10" s="7" t="s">
        <v>36</v>
      </c>
      <c r="G10" s="7" t="s">
        <v>37</v>
      </c>
    </row>
    <row r="11" customFormat="false" ht="15" hidden="false" customHeight="true" outlineLevel="0" collapsed="false">
      <c r="A11" s="8" t="s">
        <v>54</v>
      </c>
      <c r="B11" s="8" t="n">
        <f aca="false">SUM(B2:B10)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70"/>
  </cols>
  <sheetData>
    <row r="1" customFormat="false" ht="15" hidden="false" customHeight="true" outlineLevel="0" collapsed="false">
      <c r="A1" s="8" t="s">
        <v>12</v>
      </c>
      <c r="B1" s="9" t="s">
        <v>55</v>
      </c>
    </row>
    <row r="2" customFormat="false" ht="15" hidden="false" customHeight="true" outlineLevel="0" collapsed="false">
      <c r="A2" s="8" t="s">
        <v>13</v>
      </c>
      <c r="B2" s="9" t="s">
        <v>56</v>
      </c>
    </row>
    <row r="3" customFormat="false" ht="15" hidden="false" customHeight="true" outlineLevel="0" collapsed="false">
      <c r="A3" s="8" t="s">
        <v>57</v>
      </c>
      <c r="B3" s="9" t="s">
        <v>58</v>
      </c>
    </row>
    <row r="5" customFormat="false" ht="15" hidden="false" customHeight="true" outlineLevel="0" collapsed="false">
      <c r="A5" s="5" t="s">
        <v>25</v>
      </c>
      <c r="B5" s="5" t="s">
        <v>26</v>
      </c>
      <c r="C5" s="5" t="s">
        <v>59</v>
      </c>
      <c r="D5" s="5" t="s">
        <v>60</v>
      </c>
      <c r="E5" s="5" t="s">
        <v>61</v>
      </c>
    </row>
    <row r="6" customFormat="false" ht="15" hidden="false" customHeight="true" outlineLevel="0" collapsed="false">
      <c r="A6" s="6" t="str">
        <f aca="false">Rubric!A2</f>
        <v>Problem understanding and scoping</v>
      </c>
      <c r="B6" s="6" t="n">
        <f aca="false">Rubric!B2</f>
        <v>10</v>
      </c>
      <c r="C6" s="9" t="n">
        <v>3</v>
      </c>
      <c r="D6" s="6" t="n">
        <f aca="false">IF(C6="","",B6*C6/4)</f>
        <v>7.5</v>
      </c>
      <c r="E6" s="10"/>
    </row>
    <row r="7" customFormat="false" ht="15" hidden="false" customHeight="true" outlineLevel="0" collapsed="false">
      <c r="A7" s="6" t="str">
        <f aca="false">Rubric!A3</f>
        <v>Architecture and design</v>
      </c>
      <c r="B7" s="6" t="n">
        <f aca="false">Rubric!B3</f>
        <v>10</v>
      </c>
      <c r="C7" s="9" t="n">
        <v>3</v>
      </c>
      <c r="D7" s="6" t="n">
        <f aca="false">IF(C7="","",B7*C7/4)</f>
        <v>7.5</v>
      </c>
      <c r="E7" s="10"/>
    </row>
    <row r="8" customFormat="false" ht="15" hidden="false" customHeight="true" outlineLevel="0" collapsed="false">
      <c r="A8" s="6" t="str">
        <f aca="false">Rubric!A4</f>
        <v>Core functionality</v>
      </c>
      <c r="B8" s="6" t="n">
        <f aca="false">Rubric!B4</f>
        <v>20</v>
      </c>
      <c r="C8" s="9" t="n">
        <v>3</v>
      </c>
      <c r="D8" s="6" t="n">
        <f aca="false">IF(C8="","",B8*C8/4)</f>
        <v>15</v>
      </c>
      <c r="E8" s="10"/>
    </row>
    <row r="9" customFormat="false" ht="15" hidden="false" customHeight="true" outlineLevel="0" collapsed="false">
      <c r="A9" s="6" t="str">
        <f aca="false">Rubric!A5</f>
        <v>AI and data quality</v>
      </c>
      <c r="B9" s="6" t="n">
        <f aca="false">Rubric!B5</f>
        <v>15</v>
      </c>
      <c r="C9" s="9" t="n">
        <v>2</v>
      </c>
      <c r="D9" s="6" t="n">
        <f aca="false">IF(C9="","",B9*C9/4)</f>
        <v>7.5</v>
      </c>
      <c r="E9" s="10" t="s">
        <v>62</v>
      </c>
    </row>
    <row r="10" customFormat="false" ht="15" hidden="false" customHeight="true" outlineLevel="0" collapsed="false">
      <c r="A10" s="6" t="str">
        <f aca="false">Rubric!A6</f>
        <v>Engineering quality</v>
      </c>
      <c r="B10" s="6" t="n">
        <f aca="false">Rubric!B6</f>
        <v>10</v>
      </c>
      <c r="C10" s="9" t="n">
        <v>3</v>
      </c>
      <c r="D10" s="6" t="n">
        <f aca="false">IF(C10="","",B10*C10/4)</f>
        <v>7.5</v>
      </c>
      <c r="E10" s="10"/>
    </row>
    <row r="11" customFormat="false" ht="15" hidden="false" customHeight="true" outlineLevel="0" collapsed="false">
      <c r="A11" s="6" t="str">
        <f aca="false">Rubric!A7</f>
        <v>Security, guardrails and responsible AI</v>
      </c>
      <c r="B11" s="6" t="n">
        <f aca="false">Rubric!B7</f>
        <v>10</v>
      </c>
      <c r="C11" s="9" t="n">
        <v>2</v>
      </c>
      <c r="D11" s="6" t="n">
        <f aca="false">IF(C11="","",B11*C11/4)</f>
        <v>5</v>
      </c>
      <c r="E11" s="10"/>
    </row>
    <row r="12" customFormat="false" ht="15" hidden="false" customHeight="true" outlineLevel="0" collapsed="false">
      <c r="A12" s="6" t="str">
        <f aca="false">Rubric!A8</f>
        <v>Deployment and operations</v>
      </c>
      <c r="B12" s="6" t="n">
        <f aca="false">Rubric!B8</f>
        <v>10</v>
      </c>
      <c r="C12" s="9" t="n">
        <v>3</v>
      </c>
      <c r="D12" s="6" t="n">
        <f aca="false">IF(C12="","",B12*C12/4)</f>
        <v>7.5</v>
      </c>
      <c r="E12" s="10"/>
    </row>
    <row r="13" customFormat="false" ht="15" hidden="false" customHeight="true" outlineLevel="0" collapsed="false">
      <c r="A13" s="6" t="str">
        <f aca="false">Rubric!A9</f>
        <v>Demo and communication</v>
      </c>
      <c r="B13" s="6" t="n">
        <f aca="false">Rubric!B9</f>
        <v>10</v>
      </c>
      <c r="C13" s="9" t="n">
        <v>4</v>
      </c>
      <c r="D13" s="6" t="n">
        <f aca="false">IF(C13="","",B13*C13/4)</f>
        <v>10</v>
      </c>
      <c r="E13" s="10"/>
    </row>
    <row r="14" customFormat="false" ht="15" hidden="false" customHeight="true" outlineLevel="0" collapsed="false">
      <c r="A14" s="6" t="str">
        <f aca="false">Rubric!A10</f>
        <v>Teamwork and process</v>
      </c>
      <c r="B14" s="6" t="n">
        <f aca="false">Rubric!B10</f>
        <v>5</v>
      </c>
      <c r="C14" s="9" t="n">
        <v>3</v>
      </c>
      <c r="D14" s="6" t="n">
        <f aca="false">IF(C14="","",B14*C14/4)</f>
        <v>3.75</v>
      </c>
      <c r="E14" s="10"/>
    </row>
    <row r="16" customFormat="false" ht="15" hidden="false" customHeight="true" outlineLevel="0" collapsed="false">
      <c r="A16" s="8" t="s">
        <v>14</v>
      </c>
      <c r="D16" s="11" t="n">
        <f aca="false">IF(COUNT(C6:C14)=0,"",SUM(D6:D14))</f>
        <v>71.25</v>
      </c>
    </row>
    <row r="17" customFormat="false" ht="15" hidden="false" customHeight="true" outlineLevel="0" collapsed="false">
      <c r="A17" s="8" t="s">
        <v>15</v>
      </c>
      <c r="D17" s="11" t="str">
        <f aca="false">IF(D16="","",IF(D16&gt;=85,"Distinction",IF(D16&gt;=70,"Merit",IF(D16&gt;=55,"Pass","Needs resubmission"))))</f>
        <v>Merit</v>
      </c>
    </row>
    <row r="18" customFormat="false" ht="15" hidden="false" customHeight="true" outlineLevel="0" collapsed="false">
      <c r="A18" s="12" t="s">
        <v>16</v>
      </c>
      <c r="D18" s="12" t="str">
        <f aca="false">COUNT(C6:C14)&amp;"/9"</f>
        <v>9/9</v>
      </c>
    </row>
  </sheetData>
  <dataValidations count="1">
    <dataValidation allowBlank="true" error="Enter a whole number from 1 to 4" errorStyle="stop" operator="between" showDropDown="false" showErrorMessage="true" showInputMessage="false" sqref="C6:C1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70"/>
  </cols>
  <sheetData>
    <row r="1" customFormat="false" ht="15" hidden="false" customHeight="true" outlineLevel="0" collapsed="false">
      <c r="A1" s="8" t="s">
        <v>12</v>
      </c>
      <c r="B1" s="9"/>
    </row>
    <row r="2" customFormat="false" ht="15" hidden="false" customHeight="true" outlineLevel="0" collapsed="false">
      <c r="A2" s="8" t="s">
        <v>13</v>
      </c>
      <c r="B2" s="9"/>
    </row>
    <row r="3" customFormat="false" ht="15" hidden="false" customHeight="true" outlineLevel="0" collapsed="false">
      <c r="A3" s="8" t="s">
        <v>57</v>
      </c>
      <c r="B3" s="9"/>
    </row>
    <row r="5" customFormat="false" ht="15" hidden="false" customHeight="true" outlineLevel="0" collapsed="false">
      <c r="A5" s="5" t="s">
        <v>25</v>
      </c>
      <c r="B5" s="5" t="s">
        <v>26</v>
      </c>
      <c r="C5" s="5" t="s">
        <v>59</v>
      </c>
      <c r="D5" s="5" t="s">
        <v>60</v>
      </c>
      <c r="E5" s="5" t="s">
        <v>61</v>
      </c>
    </row>
    <row r="6" customFormat="false" ht="15" hidden="false" customHeight="true" outlineLevel="0" collapsed="false">
      <c r="A6" s="6" t="str">
        <f aca="false">Rubric!A2</f>
        <v>Problem understanding and scoping</v>
      </c>
      <c r="B6" s="6" t="n">
        <f aca="false">Rubric!B2</f>
        <v>10</v>
      </c>
      <c r="C6" s="9"/>
      <c r="D6" s="6" t="str">
        <f aca="false">IF(C6="","",B6*C6/4)</f>
        <v/>
      </c>
      <c r="E6" s="10"/>
    </row>
    <row r="7" customFormat="false" ht="15" hidden="false" customHeight="true" outlineLevel="0" collapsed="false">
      <c r="A7" s="6" t="str">
        <f aca="false">Rubric!A3</f>
        <v>Architecture and design</v>
      </c>
      <c r="B7" s="6" t="n">
        <f aca="false">Rubric!B3</f>
        <v>10</v>
      </c>
      <c r="C7" s="9"/>
      <c r="D7" s="6" t="str">
        <f aca="false">IF(C7="","",B7*C7/4)</f>
        <v/>
      </c>
      <c r="E7" s="10"/>
    </row>
    <row r="8" customFormat="false" ht="15" hidden="false" customHeight="true" outlineLevel="0" collapsed="false">
      <c r="A8" s="6" t="str">
        <f aca="false">Rubric!A4</f>
        <v>Core functionality</v>
      </c>
      <c r="B8" s="6" t="n">
        <f aca="false">Rubric!B4</f>
        <v>20</v>
      </c>
      <c r="C8" s="9"/>
      <c r="D8" s="6" t="str">
        <f aca="false">IF(C8="","",B8*C8/4)</f>
        <v/>
      </c>
      <c r="E8" s="10"/>
    </row>
    <row r="9" customFormat="false" ht="15" hidden="false" customHeight="true" outlineLevel="0" collapsed="false">
      <c r="A9" s="6" t="str">
        <f aca="false">Rubric!A5</f>
        <v>AI and data quality</v>
      </c>
      <c r="B9" s="6" t="n">
        <f aca="false">Rubric!B5</f>
        <v>15</v>
      </c>
      <c r="C9" s="9"/>
      <c r="D9" s="6" t="str">
        <f aca="false">IF(C9="","",B9*C9/4)</f>
        <v/>
      </c>
      <c r="E9" s="10"/>
    </row>
    <row r="10" customFormat="false" ht="15" hidden="false" customHeight="true" outlineLevel="0" collapsed="false">
      <c r="A10" s="6" t="str">
        <f aca="false">Rubric!A6</f>
        <v>Engineering quality</v>
      </c>
      <c r="B10" s="6" t="n">
        <f aca="false">Rubric!B6</f>
        <v>10</v>
      </c>
      <c r="C10" s="9"/>
      <c r="D10" s="6" t="str">
        <f aca="false">IF(C10="","",B10*C10/4)</f>
        <v/>
      </c>
      <c r="E10" s="10"/>
    </row>
    <row r="11" customFormat="false" ht="15" hidden="false" customHeight="true" outlineLevel="0" collapsed="false">
      <c r="A11" s="6" t="str">
        <f aca="false">Rubric!A7</f>
        <v>Security, guardrails and responsible AI</v>
      </c>
      <c r="B11" s="6" t="n">
        <f aca="false">Rubric!B7</f>
        <v>10</v>
      </c>
      <c r="C11" s="9"/>
      <c r="D11" s="6" t="str">
        <f aca="false">IF(C11="","",B11*C11/4)</f>
        <v/>
      </c>
      <c r="E11" s="10"/>
    </row>
    <row r="12" customFormat="false" ht="15" hidden="false" customHeight="true" outlineLevel="0" collapsed="false">
      <c r="A12" s="6" t="str">
        <f aca="false">Rubric!A8</f>
        <v>Deployment and operations</v>
      </c>
      <c r="B12" s="6" t="n">
        <f aca="false">Rubric!B8</f>
        <v>10</v>
      </c>
      <c r="C12" s="9"/>
      <c r="D12" s="6" t="str">
        <f aca="false">IF(C12="","",B12*C12/4)</f>
        <v/>
      </c>
      <c r="E12" s="10"/>
    </row>
    <row r="13" customFormat="false" ht="15" hidden="false" customHeight="true" outlineLevel="0" collapsed="false">
      <c r="A13" s="6" t="str">
        <f aca="false">Rubric!A9</f>
        <v>Demo and communication</v>
      </c>
      <c r="B13" s="6" t="n">
        <f aca="false">Rubric!B9</f>
        <v>10</v>
      </c>
      <c r="C13" s="9"/>
      <c r="D13" s="6" t="str">
        <f aca="false">IF(C13="","",B13*C13/4)</f>
        <v/>
      </c>
      <c r="E13" s="10"/>
    </row>
    <row r="14" customFormat="false" ht="15" hidden="false" customHeight="true" outlineLevel="0" collapsed="false">
      <c r="A14" s="6" t="str">
        <f aca="false">Rubric!A10</f>
        <v>Teamwork and process</v>
      </c>
      <c r="B14" s="6" t="n">
        <f aca="false">Rubric!B10</f>
        <v>5</v>
      </c>
      <c r="C14" s="9"/>
      <c r="D14" s="6" t="str">
        <f aca="false">IF(C14="","",B14*C14/4)</f>
        <v/>
      </c>
      <c r="E14" s="10"/>
    </row>
    <row r="16" customFormat="false" ht="15" hidden="false" customHeight="true" outlineLevel="0" collapsed="false">
      <c r="A16" s="8" t="s">
        <v>14</v>
      </c>
      <c r="D16" s="11" t="str">
        <f aca="false">IF(COUNT(C6:C14)=0,"",SUM(D6:D14))</f>
        <v/>
      </c>
    </row>
    <row r="17" customFormat="false" ht="15" hidden="false" customHeight="true" outlineLevel="0" collapsed="false">
      <c r="A17" s="8" t="s">
        <v>15</v>
      </c>
      <c r="D17" s="11" t="str">
        <f aca="false">IF(D16="","",IF(D16&gt;=85,"Distinction",IF(D16&gt;=70,"Merit",IF(D16&gt;=55,"Pass","Needs resubmission"))))</f>
        <v/>
      </c>
    </row>
    <row r="18" customFormat="false" ht="15" hidden="false" customHeight="true" outlineLevel="0" collapsed="false">
      <c r="A18" s="12" t="s">
        <v>16</v>
      </c>
      <c r="D18" s="12" t="str">
        <f aca="false">COUNT(C6:C14)&amp;"/9"</f>
        <v>0/9</v>
      </c>
    </row>
  </sheetData>
  <dataValidations count="1">
    <dataValidation allowBlank="true" error="Enter a whole number from 1 to 4" errorStyle="stop" operator="between" showDropDown="false" showErrorMessage="true" showInputMessage="false" sqref="C6:C1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70"/>
  </cols>
  <sheetData>
    <row r="1" customFormat="false" ht="15" hidden="false" customHeight="true" outlineLevel="0" collapsed="false">
      <c r="A1" s="8" t="s">
        <v>12</v>
      </c>
      <c r="B1" s="9"/>
    </row>
    <row r="2" customFormat="false" ht="15" hidden="false" customHeight="true" outlineLevel="0" collapsed="false">
      <c r="A2" s="8" t="s">
        <v>13</v>
      </c>
      <c r="B2" s="9"/>
    </row>
    <row r="3" customFormat="false" ht="15" hidden="false" customHeight="true" outlineLevel="0" collapsed="false">
      <c r="A3" s="8" t="s">
        <v>57</v>
      </c>
      <c r="B3" s="9"/>
    </row>
    <row r="5" customFormat="false" ht="15" hidden="false" customHeight="true" outlineLevel="0" collapsed="false">
      <c r="A5" s="5" t="s">
        <v>25</v>
      </c>
      <c r="B5" s="5" t="s">
        <v>26</v>
      </c>
      <c r="C5" s="5" t="s">
        <v>59</v>
      </c>
      <c r="D5" s="5" t="s">
        <v>60</v>
      </c>
      <c r="E5" s="5" t="s">
        <v>61</v>
      </c>
    </row>
    <row r="6" customFormat="false" ht="15" hidden="false" customHeight="true" outlineLevel="0" collapsed="false">
      <c r="A6" s="6" t="str">
        <f aca="false">Rubric!A2</f>
        <v>Problem understanding and scoping</v>
      </c>
      <c r="B6" s="6" t="n">
        <f aca="false">Rubric!B2</f>
        <v>10</v>
      </c>
      <c r="C6" s="9"/>
      <c r="D6" s="6" t="str">
        <f aca="false">IF(C6="","",B6*C6/4)</f>
        <v/>
      </c>
      <c r="E6" s="10"/>
    </row>
    <row r="7" customFormat="false" ht="15" hidden="false" customHeight="true" outlineLevel="0" collapsed="false">
      <c r="A7" s="6" t="str">
        <f aca="false">Rubric!A3</f>
        <v>Architecture and design</v>
      </c>
      <c r="B7" s="6" t="n">
        <f aca="false">Rubric!B3</f>
        <v>10</v>
      </c>
      <c r="C7" s="9"/>
      <c r="D7" s="6" t="str">
        <f aca="false">IF(C7="","",B7*C7/4)</f>
        <v/>
      </c>
      <c r="E7" s="10"/>
    </row>
    <row r="8" customFormat="false" ht="15" hidden="false" customHeight="true" outlineLevel="0" collapsed="false">
      <c r="A8" s="6" t="str">
        <f aca="false">Rubric!A4</f>
        <v>Core functionality</v>
      </c>
      <c r="B8" s="6" t="n">
        <f aca="false">Rubric!B4</f>
        <v>20</v>
      </c>
      <c r="C8" s="9"/>
      <c r="D8" s="6" t="str">
        <f aca="false">IF(C8="","",B8*C8/4)</f>
        <v/>
      </c>
      <c r="E8" s="10"/>
    </row>
    <row r="9" customFormat="false" ht="15" hidden="false" customHeight="true" outlineLevel="0" collapsed="false">
      <c r="A9" s="6" t="str">
        <f aca="false">Rubric!A5</f>
        <v>AI and data quality</v>
      </c>
      <c r="B9" s="6" t="n">
        <f aca="false">Rubric!B5</f>
        <v>15</v>
      </c>
      <c r="C9" s="9"/>
      <c r="D9" s="6" t="str">
        <f aca="false">IF(C9="","",B9*C9/4)</f>
        <v/>
      </c>
      <c r="E9" s="10"/>
    </row>
    <row r="10" customFormat="false" ht="15" hidden="false" customHeight="true" outlineLevel="0" collapsed="false">
      <c r="A10" s="6" t="str">
        <f aca="false">Rubric!A6</f>
        <v>Engineering quality</v>
      </c>
      <c r="B10" s="6" t="n">
        <f aca="false">Rubric!B6</f>
        <v>10</v>
      </c>
      <c r="C10" s="9"/>
      <c r="D10" s="6" t="str">
        <f aca="false">IF(C10="","",B10*C10/4)</f>
        <v/>
      </c>
      <c r="E10" s="10"/>
    </row>
    <row r="11" customFormat="false" ht="15" hidden="false" customHeight="true" outlineLevel="0" collapsed="false">
      <c r="A11" s="6" t="str">
        <f aca="false">Rubric!A7</f>
        <v>Security, guardrails and responsible AI</v>
      </c>
      <c r="B11" s="6" t="n">
        <f aca="false">Rubric!B7</f>
        <v>10</v>
      </c>
      <c r="C11" s="9"/>
      <c r="D11" s="6" t="str">
        <f aca="false">IF(C11="","",B11*C11/4)</f>
        <v/>
      </c>
      <c r="E11" s="10"/>
    </row>
    <row r="12" customFormat="false" ht="15" hidden="false" customHeight="true" outlineLevel="0" collapsed="false">
      <c r="A12" s="6" t="str">
        <f aca="false">Rubric!A8</f>
        <v>Deployment and operations</v>
      </c>
      <c r="B12" s="6" t="n">
        <f aca="false">Rubric!B8</f>
        <v>10</v>
      </c>
      <c r="C12" s="9"/>
      <c r="D12" s="6" t="str">
        <f aca="false">IF(C12="","",B12*C12/4)</f>
        <v/>
      </c>
      <c r="E12" s="10"/>
    </row>
    <row r="13" customFormat="false" ht="15" hidden="false" customHeight="true" outlineLevel="0" collapsed="false">
      <c r="A13" s="6" t="str">
        <f aca="false">Rubric!A9</f>
        <v>Demo and communication</v>
      </c>
      <c r="B13" s="6" t="n">
        <f aca="false">Rubric!B9</f>
        <v>10</v>
      </c>
      <c r="C13" s="9"/>
      <c r="D13" s="6" t="str">
        <f aca="false">IF(C13="","",B13*C13/4)</f>
        <v/>
      </c>
      <c r="E13" s="10"/>
    </row>
    <row r="14" customFormat="false" ht="15" hidden="false" customHeight="true" outlineLevel="0" collapsed="false">
      <c r="A14" s="6" t="str">
        <f aca="false">Rubric!A10</f>
        <v>Teamwork and process</v>
      </c>
      <c r="B14" s="6" t="n">
        <f aca="false">Rubric!B10</f>
        <v>5</v>
      </c>
      <c r="C14" s="9"/>
      <c r="D14" s="6" t="str">
        <f aca="false">IF(C14="","",B14*C14/4)</f>
        <v/>
      </c>
      <c r="E14" s="10"/>
    </row>
    <row r="16" customFormat="false" ht="15" hidden="false" customHeight="true" outlineLevel="0" collapsed="false">
      <c r="A16" s="8" t="s">
        <v>14</v>
      </c>
      <c r="D16" s="11" t="str">
        <f aca="false">IF(COUNT(C6:C14)=0,"",SUM(D6:D14))</f>
        <v/>
      </c>
    </row>
    <row r="17" customFormat="false" ht="15" hidden="false" customHeight="true" outlineLevel="0" collapsed="false">
      <c r="A17" s="8" t="s">
        <v>15</v>
      </c>
      <c r="D17" s="11" t="str">
        <f aca="false">IF(D16="","",IF(D16&gt;=85,"Distinction",IF(D16&gt;=70,"Merit",IF(D16&gt;=55,"Pass","Needs resubmission"))))</f>
        <v/>
      </c>
    </row>
    <row r="18" customFormat="false" ht="15" hidden="false" customHeight="true" outlineLevel="0" collapsed="false">
      <c r="A18" s="12" t="s">
        <v>16</v>
      </c>
      <c r="D18" s="12" t="str">
        <f aca="false">COUNT(C6:C14)&amp;"/9"</f>
        <v>0/9</v>
      </c>
    </row>
  </sheetData>
  <dataValidations count="1">
    <dataValidation allowBlank="true" error="Enter a whole number from 1 to 4" errorStyle="stop" operator="between" showDropDown="false" showErrorMessage="true" showInputMessage="false" sqref="C6:C1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70"/>
  </cols>
  <sheetData>
    <row r="1" customFormat="false" ht="15" hidden="false" customHeight="true" outlineLevel="0" collapsed="false">
      <c r="A1" s="8" t="s">
        <v>12</v>
      </c>
      <c r="B1" s="9"/>
    </row>
    <row r="2" customFormat="false" ht="15" hidden="false" customHeight="true" outlineLevel="0" collapsed="false">
      <c r="A2" s="8" t="s">
        <v>13</v>
      </c>
      <c r="B2" s="9"/>
    </row>
    <row r="3" customFormat="false" ht="15" hidden="false" customHeight="true" outlineLevel="0" collapsed="false">
      <c r="A3" s="8" t="s">
        <v>57</v>
      </c>
      <c r="B3" s="9"/>
    </row>
    <row r="5" customFormat="false" ht="15" hidden="false" customHeight="true" outlineLevel="0" collapsed="false">
      <c r="A5" s="5" t="s">
        <v>25</v>
      </c>
      <c r="B5" s="5" t="s">
        <v>26</v>
      </c>
      <c r="C5" s="5" t="s">
        <v>59</v>
      </c>
      <c r="D5" s="5" t="s">
        <v>60</v>
      </c>
      <c r="E5" s="5" t="s">
        <v>61</v>
      </c>
    </row>
    <row r="6" customFormat="false" ht="15" hidden="false" customHeight="true" outlineLevel="0" collapsed="false">
      <c r="A6" s="6" t="str">
        <f aca="false">Rubric!A2</f>
        <v>Problem understanding and scoping</v>
      </c>
      <c r="B6" s="6" t="n">
        <f aca="false">Rubric!B2</f>
        <v>10</v>
      </c>
      <c r="C6" s="9"/>
      <c r="D6" s="6" t="str">
        <f aca="false">IF(C6="","",B6*C6/4)</f>
        <v/>
      </c>
      <c r="E6" s="10"/>
    </row>
    <row r="7" customFormat="false" ht="15" hidden="false" customHeight="true" outlineLevel="0" collapsed="false">
      <c r="A7" s="6" t="str">
        <f aca="false">Rubric!A3</f>
        <v>Architecture and design</v>
      </c>
      <c r="B7" s="6" t="n">
        <f aca="false">Rubric!B3</f>
        <v>10</v>
      </c>
      <c r="C7" s="9"/>
      <c r="D7" s="6" t="str">
        <f aca="false">IF(C7="","",B7*C7/4)</f>
        <v/>
      </c>
      <c r="E7" s="10"/>
    </row>
    <row r="8" customFormat="false" ht="15" hidden="false" customHeight="true" outlineLevel="0" collapsed="false">
      <c r="A8" s="6" t="str">
        <f aca="false">Rubric!A4</f>
        <v>Core functionality</v>
      </c>
      <c r="B8" s="6" t="n">
        <f aca="false">Rubric!B4</f>
        <v>20</v>
      </c>
      <c r="C8" s="9"/>
      <c r="D8" s="6" t="str">
        <f aca="false">IF(C8="","",B8*C8/4)</f>
        <v/>
      </c>
      <c r="E8" s="10"/>
    </row>
    <row r="9" customFormat="false" ht="15" hidden="false" customHeight="true" outlineLevel="0" collapsed="false">
      <c r="A9" s="6" t="str">
        <f aca="false">Rubric!A5</f>
        <v>AI and data quality</v>
      </c>
      <c r="B9" s="6" t="n">
        <f aca="false">Rubric!B5</f>
        <v>15</v>
      </c>
      <c r="C9" s="9"/>
      <c r="D9" s="6" t="str">
        <f aca="false">IF(C9="","",B9*C9/4)</f>
        <v/>
      </c>
      <c r="E9" s="10"/>
    </row>
    <row r="10" customFormat="false" ht="15" hidden="false" customHeight="true" outlineLevel="0" collapsed="false">
      <c r="A10" s="6" t="str">
        <f aca="false">Rubric!A6</f>
        <v>Engineering quality</v>
      </c>
      <c r="B10" s="6" t="n">
        <f aca="false">Rubric!B6</f>
        <v>10</v>
      </c>
      <c r="C10" s="9"/>
      <c r="D10" s="6" t="str">
        <f aca="false">IF(C10="","",B10*C10/4)</f>
        <v/>
      </c>
      <c r="E10" s="10"/>
    </row>
    <row r="11" customFormat="false" ht="15" hidden="false" customHeight="true" outlineLevel="0" collapsed="false">
      <c r="A11" s="6" t="str">
        <f aca="false">Rubric!A7</f>
        <v>Security, guardrails and responsible AI</v>
      </c>
      <c r="B11" s="6" t="n">
        <f aca="false">Rubric!B7</f>
        <v>10</v>
      </c>
      <c r="C11" s="9"/>
      <c r="D11" s="6" t="str">
        <f aca="false">IF(C11="","",B11*C11/4)</f>
        <v/>
      </c>
      <c r="E11" s="10"/>
    </row>
    <row r="12" customFormat="false" ht="15" hidden="false" customHeight="true" outlineLevel="0" collapsed="false">
      <c r="A12" s="6" t="str">
        <f aca="false">Rubric!A8</f>
        <v>Deployment and operations</v>
      </c>
      <c r="B12" s="6" t="n">
        <f aca="false">Rubric!B8</f>
        <v>10</v>
      </c>
      <c r="C12" s="9"/>
      <c r="D12" s="6" t="str">
        <f aca="false">IF(C12="","",B12*C12/4)</f>
        <v/>
      </c>
      <c r="E12" s="10"/>
    </row>
    <row r="13" customFormat="false" ht="15" hidden="false" customHeight="true" outlineLevel="0" collapsed="false">
      <c r="A13" s="6" t="str">
        <f aca="false">Rubric!A9</f>
        <v>Demo and communication</v>
      </c>
      <c r="B13" s="6" t="n">
        <f aca="false">Rubric!B9</f>
        <v>10</v>
      </c>
      <c r="C13" s="9"/>
      <c r="D13" s="6" t="str">
        <f aca="false">IF(C13="","",B13*C13/4)</f>
        <v/>
      </c>
      <c r="E13" s="10"/>
    </row>
    <row r="14" customFormat="false" ht="15" hidden="false" customHeight="true" outlineLevel="0" collapsed="false">
      <c r="A14" s="6" t="str">
        <f aca="false">Rubric!A10</f>
        <v>Teamwork and process</v>
      </c>
      <c r="B14" s="6" t="n">
        <f aca="false">Rubric!B10</f>
        <v>5</v>
      </c>
      <c r="C14" s="9"/>
      <c r="D14" s="6" t="str">
        <f aca="false">IF(C14="","",B14*C14/4)</f>
        <v/>
      </c>
      <c r="E14" s="10"/>
    </row>
    <row r="16" customFormat="false" ht="15" hidden="false" customHeight="true" outlineLevel="0" collapsed="false">
      <c r="A16" s="8" t="s">
        <v>14</v>
      </c>
      <c r="D16" s="11" t="str">
        <f aca="false">IF(COUNT(C6:C14)=0,"",SUM(D6:D14))</f>
        <v/>
      </c>
    </row>
    <row r="17" customFormat="false" ht="15" hidden="false" customHeight="true" outlineLevel="0" collapsed="false">
      <c r="A17" s="8" t="s">
        <v>15</v>
      </c>
      <c r="D17" s="11" t="str">
        <f aca="false">IF(D16="","",IF(D16&gt;=85,"Distinction",IF(D16&gt;=70,"Merit",IF(D16&gt;=55,"Pass","Needs resubmission"))))</f>
        <v/>
      </c>
    </row>
    <row r="18" customFormat="false" ht="15" hidden="false" customHeight="true" outlineLevel="0" collapsed="false">
      <c r="A18" s="12" t="s">
        <v>16</v>
      </c>
      <c r="D18" s="12" t="str">
        <f aca="false">COUNT(C6:C14)&amp;"/9"</f>
        <v>0/9</v>
      </c>
    </row>
  </sheetData>
  <dataValidations count="1">
    <dataValidation allowBlank="true" error="Enter a whole number from 1 to 4" errorStyle="stop" operator="between" showDropDown="false" showErrorMessage="true" showInputMessage="false" sqref="C6:C1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70"/>
  </cols>
  <sheetData>
    <row r="1" customFormat="false" ht="15" hidden="false" customHeight="true" outlineLevel="0" collapsed="false">
      <c r="A1" s="8" t="s">
        <v>12</v>
      </c>
      <c r="B1" s="9"/>
    </row>
    <row r="2" customFormat="false" ht="15" hidden="false" customHeight="true" outlineLevel="0" collapsed="false">
      <c r="A2" s="8" t="s">
        <v>13</v>
      </c>
      <c r="B2" s="9"/>
    </row>
    <row r="3" customFormat="false" ht="15" hidden="false" customHeight="true" outlineLevel="0" collapsed="false">
      <c r="A3" s="8" t="s">
        <v>57</v>
      </c>
      <c r="B3" s="9"/>
    </row>
    <row r="5" customFormat="false" ht="15" hidden="false" customHeight="true" outlineLevel="0" collapsed="false">
      <c r="A5" s="5" t="s">
        <v>25</v>
      </c>
      <c r="B5" s="5" t="s">
        <v>26</v>
      </c>
      <c r="C5" s="5" t="s">
        <v>59</v>
      </c>
      <c r="D5" s="5" t="s">
        <v>60</v>
      </c>
      <c r="E5" s="5" t="s">
        <v>61</v>
      </c>
    </row>
    <row r="6" customFormat="false" ht="15" hidden="false" customHeight="true" outlineLevel="0" collapsed="false">
      <c r="A6" s="6" t="str">
        <f aca="false">Rubric!A2</f>
        <v>Problem understanding and scoping</v>
      </c>
      <c r="B6" s="6" t="n">
        <f aca="false">Rubric!B2</f>
        <v>10</v>
      </c>
      <c r="C6" s="9"/>
      <c r="D6" s="6" t="str">
        <f aca="false">IF(C6="","",B6*C6/4)</f>
        <v/>
      </c>
      <c r="E6" s="10"/>
    </row>
    <row r="7" customFormat="false" ht="15" hidden="false" customHeight="true" outlineLevel="0" collapsed="false">
      <c r="A7" s="6" t="str">
        <f aca="false">Rubric!A3</f>
        <v>Architecture and design</v>
      </c>
      <c r="B7" s="6" t="n">
        <f aca="false">Rubric!B3</f>
        <v>10</v>
      </c>
      <c r="C7" s="9"/>
      <c r="D7" s="6" t="str">
        <f aca="false">IF(C7="","",B7*C7/4)</f>
        <v/>
      </c>
      <c r="E7" s="10"/>
    </row>
    <row r="8" customFormat="false" ht="15" hidden="false" customHeight="true" outlineLevel="0" collapsed="false">
      <c r="A8" s="6" t="str">
        <f aca="false">Rubric!A4</f>
        <v>Core functionality</v>
      </c>
      <c r="B8" s="6" t="n">
        <f aca="false">Rubric!B4</f>
        <v>20</v>
      </c>
      <c r="C8" s="9"/>
      <c r="D8" s="6" t="str">
        <f aca="false">IF(C8="","",B8*C8/4)</f>
        <v/>
      </c>
      <c r="E8" s="10"/>
    </row>
    <row r="9" customFormat="false" ht="15" hidden="false" customHeight="true" outlineLevel="0" collapsed="false">
      <c r="A9" s="6" t="str">
        <f aca="false">Rubric!A5</f>
        <v>AI and data quality</v>
      </c>
      <c r="B9" s="6" t="n">
        <f aca="false">Rubric!B5</f>
        <v>15</v>
      </c>
      <c r="C9" s="9"/>
      <c r="D9" s="6" t="str">
        <f aca="false">IF(C9="","",B9*C9/4)</f>
        <v/>
      </c>
      <c r="E9" s="10"/>
    </row>
    <row r="10" customFormat="false" ht="15" hidden="false" customHeight="true" outlineLevel="0" collapsed="false">
      <c r="A10" s="6" t="str">
        <f aca="false">Rubric!A6</f>
        <v>Engineering quality</v>
      </c>
      <c r="B10" s="6" t="n">
        <f aca="false">Rubric!B6</f>
        <v>10</v>
      </c>
      <c r="C10" s="9"/>
      <c r="D10" s="6" t="str">
        <f aca="false">IF(C10="","",B10*C10/4)</f>
        <v/>
      </c>
      <c r="E10" s="10"/>
    </row>
    <row r="11" customFormat="false" ht="15" hidden="false" customHeight="true" outlineLevel="0" collapsed="false">
      <c r="A11" s="6" t="str">
        <f aca="false">Rubric!A7</f>
        <v>Security, guardrails and responsible AI</v>
      </c>
      <c r="B11" s="6" t="n">
        <f aca="false">Rubric!B7</f>
        <v>10</v>
      </c>
      <c r="C11" s="9"/>
      <c r="D11" s="6" t="str">
        <f aca="false">IF(C11="","",B11*C11/4)</f>
        <v/>
      </c>
      <c r="E11" s="10"/>
    </row>
    <row r="12" customFormat="false" ht="15" hidden="false" customHeight="true" outlineLevel="0" collapsed="false">
      <c r="A12" s="6" t="str">
        <f aca="false">Rubric!A8</f>
        <v>Deployment and operations</v>
      </c>
      <c r="B12" s="6" t="n">
        <f aca="false">Rubric!B8</f>
        <v>10</v>
      </c>
      <c r="C12" s="9"/>
      <c r="D12" s="6" t="str">
        <f aca="false">IF(C12="","",B12*C12/4)</f>
        <v/>
      </c>
      <c r="E12" s="10"/>
    </row>
    <row r="13" customFormat="false" ht="15" hidden="false" customHeight="true" outlineLevel="0" collapsed="false">
      <c r="A13" s="6" t="str">
        <f aca="false">Rubric!A9</f>
        <v>Demo and communication</v>
      </c>
      <c r="B13" s="6" t="n">
        <f aca="false">Rubric!B9</f>
        <v>10</v>
      </c>
      <c r="C13" s="9"/>
      <c r="D13" s="6" t="str">
        <f aca="false">IF(C13="","",B13*C13/4)</f>
        <v/>
      </c>
      <c r="E13" s="10"/>
    </row>
    <row r="14" customFormat="false" ht="15" hidden="false" customHeight="true" outlineLevel="0" collapsed="false">
      <c r="A14" s="6" t="str">
        <f aca="false">Rubric!A10</f>
        <v>Teamwork and process</v>
      </c>
      <c r="B14" s="6" t="n">
        <f aca="false">Rubric!B10</f>
        <v>5</v>
      </c>
      <c r="C14" s="9"/>
      <c r="D14" s="6" t="str">
        <f aca="false">IF(C14="","",B14*C14/4)</f>
        <v/>
      </c>
      <c r="E14" s="10"/>
    </row>
    <row r="16" customFormat="false" ht="15" hidden="false" customHeight="true" outlineLevel="0" collapsed="false">
      <c r="A16" s="8" t="s">
        <v>14</v>
      </c>
      <c r="D16" s="11" t="str">
        <f aca="false">IF(COUNT(C6:C14)=0,"",SUM(D6:D14))</f>
        <v/>
      </c>
    </row>
    <row r="17" customFormat="false" ht="15" hidden="false" customHeight="true" outlineLevel="0" collapsed="false">
      <c r="A17" s="8" t="s">
        <v>15</v>
      </c>
      <c r="D17" s="11" t="str">
        <f aca="false">IF(D16="","",IF(D16&gt;=85,"Distinction",IF(D16&gt;=70,"Merit",IF(D16&gt;=55,"Pass","Needs resubmission"))))</f>
        <v/>
      </c>
    </row>
    <row r="18" customFormat="false" ht="15" hidden="false" customHeight="true" outlineLevel="0" collapsed="false">
      <c r="A18" s="12" t="s">
        <v>16</v>
      </c>
      <c r="D18" s="12" t="str">
        <f aca="false">COUNT(C6:C14)&amp;"/9"</f>
        <v>0/9</v>
      </c>
    </row>
  </sheetData>
  <dataValidations count="1">
    <dataValidation allowBlank="true" error="Enter a whole number from 1 to 4" errorStyle="stop" operator="between" showDropDown="false" showErrorMessage="true" showInputMessage="false" sqref="C6:C1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70"/>
  </cols>
  <sheetData>
    <row r="1" customFormat="false" ht="15" hidden="false" customHeight="true" outlineLevel="0" collapsed="false">
      <c r="A1" s="8" t="s">
        <v>12</v>
      </c>
      <c r="B1" s="9"/>
    </row>
    <row r="2" customFormat="false" ht="15" hidden="false" customHeight="true" outlineLevel="0" collapsed="false">
      <c r="A2" s="8" t="s">
        <v>13</v>
      </c>
      <c r="B2" s="9"/>
    </row>
    <row r="3" customFormat="false" ht="15" hidden="false" customHeight="true" outlineLevel="0" collapsed="false">
      <c r="A3" s="8" t="s">
        <v>57</v>
      </c>
      <c r="B3" s="9"/>
    </row>
    <row r="5" customFormat="false" ht="15" hidden="false" customHeight="true" outlineLevel="0" collapsed="false">
      <c r="A5" s="5" t="s">
        <v>25</v>
      </c>
      <c r="B5" s="5" t="s">
        <v>26</v>
      </c>
      <c r="C5" s="5" t="s">
        <v>59</v>
      </c>
      <c r="D5" s="5" t="s">
        <v>60</v>
      </c>
      <c r="E5" s="5" t="s">
        <v>61</v>
      </c>
    </row>
    <row r="6" customFormat="false" ht="15" hidden="false" customHeight="true" outlineLevel="0" collapsed="false">
      <c r="A6" s="6" t="str">
        <f aca="false">Rubric!A2</f>
        <v>Problem understanding and scoping</v>
      </c>
      <c r="B6" s="6" t="n">
        <f aca="false">Rubric!B2</f>
        <v>10</v>
      </c>
      <c r="C6" s="9"/>
      <c r="D6" s="6" t="str">
        <f aca="false">IF(C6="","",B6*C6/4)</f>
        <v/>
      </c>
      <c r="E6" s="10"/>
    </row>
    <row r="7" customFormat="false" ht="15" hidden="false" customHeight="true" outlineLevel="0" collapsed="false">
      <c r="A7" s="6" t="str">
        <f aca="false">Rubric!A3</f>
        <v>Architecture and design</v>
      </c>
      <c r="B7" s="6" t="n">
        <f aca="false">Rubric!B3</f>
        <v>10</v>
      </c>
      <c r="C7" s="9"/>
      <c r="D7" s="6" t="str">
        <f aca="false">IF(C7="","",B7*C7/4)</f>
        <v/>
      </c>
      <c r="E7" s="10"/>
    </row>
    <row r="8" customFormat="false" ht="15" hidden="false" customHeight="true" outlineLevel="0" collapsed="false">
      <c r="A8" s="6" t="str">
        <f aca="false">Rubric!A4</f>
        <v>Core functionality</v>
      </c>
      <c r="B8" s="6" t="n">
        <f aca="false">Rubric!B4</f>
        <v>20</v>
      </c>
      <c r="C8" s="9"/>
      <c r="D8" s="6" t="str">
        <f aca="false">IF(C8="","",B8*C8/4)</f>
        <v/>
      </c>
      <c r="E8" s="10"/>
    </row>
    <row r="9" customFormat="false" ht="15" hidden="false" customHeight="true" outlineLevel="0" collapsed="false">
      <c r="A9" s="6" t="str">
        <f aca="false">Rubric!A5</f>
        <v>AI and data quality</v>
      </c>
      <c r="B9" s="6" t="n">
        <f aca="false">Rubric!B5</f>
        <v>15</v>
      </c>
      <c r="C9" s="9"/>
      <c r="D9" s="6" t="str">
        <f aca="false">IF(C9="","",B9*C9/4)</f>
        <v/>
      </c>
      <c r="E9" s="10"/>
    </row>
    <row r="10" customFormat="false" ht="15" hidden="false" customHeight="true" outlineLevel="0" collapsed="false">
      <c r="A10" s="6" t="str">
        <f aca="false">Rubric!A6</f>
        <v>Engineering quality</v>
      </c>
      <c r="B10" s="6" t="n">
        <f aca="false">Rubric!B6</f>
        <v>10</v>
      </c>
      <c r="C10" s="9"/>
      <c r="D10" s="6" t="str">
        <f aca="false">IF(C10="","",B10*C10/4)</f>
        <v/>
      </c>
      <c r="E10" s="10"/>
    </row>
    <row r="11" customFormat="false" ht="15" hidden="false" customHeight="true" outlineLevel="0" collapsed="false">
      <c r="A11" s="6" t="str">
        <f aca="false">Rubric!A7</f>
        <v>Security, guardrails and responsible AI</v>
      </c>
      <c r="B11" s="6" t="n">
        <f aca="false">Rubric!B7</f>
        <v>10</v>
      </c>
      <c r="C11" s="9"/>
      <c r="D11" s="6" t="str">
        <f aca="false">IF(C11="","",B11*C11/4)</f>
        <v/>
      </c>
      <c r="E11" s="10"/>
    </row>
    <row r="12" customFormat="false" ht="15" hidden="false" customHeight="true" outlineLevel="0" collapsed="false">
      <c r="A12" s="6" t="str">
        <f aca="false">Rubric!A8</f>
        <v>Deployment and operations</v>
      </c>
      <c r="B12" s="6" t="n">
        <f aca="false">Rubric!B8</f>
        <v>10</v>
      </c>
      <c r="C12" s="9"/>
      <c r="D12" s="6" t="str">
        <f aca="false">IF(C12="","",B12*C12/4)</f>
        <v/>
      </c>
      <c r="E12" s="10"/>
    </row>
    <row r="13" customFormat="false" ht="15" hidden="false" customHeight="true" outlineLevel="0" collapsed="false">
      <c r="A13" s="6" t="str">
        <f aca="false">Rubric!A9</f>
        <v>Demo and communication</v>
      </c>
      <c r="B13" s="6" t="n">
        <f aca="false">Rubric!B9</f>
        <v>10</v>
      </c>
      <c r="C13" s="9"/>
      <c r="D13" s="6" t="str">
        <f aca="false">IF(C13="","",B13*C13/4)</f>
        <v/>
      </c>
      <c r="E13" s="10"/>
    </row>
    <row r="14" customFormat="false" ht="15" hidden="false" customHeight="true" outlineLevel="0" collapsed="false">
      <c r="A14" s="6" t="str">
        <f aca="false">Rubric!A10</f>
        <v>Teamwork and process</v>
      </c>
      <c r="B14" s="6" t="n">
        <f aca="false">Rubric!B10</f>
        <v>5</v>
      </c>
      <c r="C14" s="9"/>
      <c r="D14" s="6" t="str">
        <f aca="false">IF(C14="","",B14*C14/4)</f>
        <v/>
      </c>
      <c r="E14" s="10"/>
    </row>
    <row r="16" customFormat="false" ht="15" hidden="false" customHeight="true" outlineLevel="0" collapsed="false">
      <c r="A16" s="8" t="s">
        <v>14</v>
      </c>
      <c r="D16" s="11" t="str">
        <f aca="false">IF(COUNT(C6:C14)=0,"",SUM(D6:D14))</f>
        <v/>
      </c>
    </row>
    <row r="17" customFormat="false" ht="15" hidden="false" customHeight="true" outlineLevel="0" collapsed="false">
      <c r="A17" s="8" t="s">
        <v>15</v>
      </c>
      <c r="D17" s="11" t="str">
        <f aca="false">IF(D16="","",IF(D16&gt;=85,"Distinction",IF(D16&gt;=70,"Merit",IF(D16&gt;=55,"Pass","Needs resubmission"))))</f>
        <v/>
      </c>
    </row>
    <row r="18" customFormat="false" ht="15" hidden="false" customHeight="true" outlineLevel="0" collapsed="false">
      <c r="A18" s="12" t="s">
        <v>16</v>
      </c>
      <c r="D18" s="12" t="str">
        <f aca="false">COUNT(C6:C14)&amp;"/9"</f>
        <v>0/9</v>
      </c>
    </row>
  </sheetData>
  <dataValidations count="1">
    <dataValidation allowBlank="true" error="Enter a whole number from 1 to 4" errorStyle="stop" operator="between" showDropDown="false" showErrorMessage="true" showInputMessage="false" sqref="C6:C1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70"/>
  </cols>
  <sheetData>
    <row r="1" customFormat="false" ht="15" hidden="false" customHeight="true" outlineLevel="0" collapsed="false">
      <c r="A1" s="8" t="s">
        <v>12</v>
      </c>
      <c r="B1" s="9"/>
    </row>
    <row r="2" customFormat="false" ht="15" hidden="false" customHeight="true" outlineLevel="0" collapsed="false">
      <c r="A2" s="8" t="s">
        <v>13</v>
      </c>
      <c r="B2" s="9"/>
    </row>
    <row r="3" customFormat="false" ht="15" hidden="false" customHeight="true" outlineLevel="0" collapsed="false">
      <c r="A3" s="8" t="s">
        <v>57</v>
      </c>
      <c r="B3" s="9"/>
    </row>
    <row r="5" customFormat="false" ht="15" hidden="false" customHeight="true" outlineLevel="0" collapsed="false">
      <c r="A5" s="5" t="s">
        <v>25</v>
      </c>
      <c r="B5" s="5" t="s">
        <v>26</v>
      </c>
      <c r="C5" s="5" t="s">
        <v>59</v>
      </c>
      <c r="D5" s="5" t="s">
        <v>60</v>
      </c>
      <c r="E5" s="5" t="s">
        <v>61</v>
      </c>
    </row>
    <row r="6" customFormat="false" ht="15" hidden="false" customHeight="true" outlineLevel="0" collapsed="false">
      <c r="A6" s="6" t="str">
        <f aca="false">Rubric!A2</f>
        <v>Problem understanding and scoping</v>
      </c>
      <c r="B6" s="6" t="n">
        <f aca="false">Rubric!B2</f>
        <v>10</v>
      </c>
      <c r="C6" s="9"/>
      <c r="D6" s="6" t="str">
        <f aca="false">IF(C6="","",B6*C6/4)</f>
        <v/>
      </c>
      <c r="E6" s="10"/>
    </row>
    <row r="7" customFormat="false" ht="15" hidden="false" customHeight="true" outlineLevel="0" collapsed="false">
      <c r="A7" s="6" t="str">
        <f aca="false">Rubric!A3</f>
        <v>Architecture and design</v>
      </c>
      <c r="B7" s="6" t="n">
        <f aca="false">Rubric!B3</f>
        <v>10</v>
      </c>
      <c r="C7" s="9"/>
      <c r="D7" s="6" t="str">
        <f aca="false">IF(C7="","",B7*C7/4)</f>
        <v/>
      </c>
      <c r="E7" s="10"/>
    </row>
    <row r="8" customFormat="false" ht="15" hidden="false" customHeight="true" outlineLevel="0" collapsed="false">
      <c r="A8" s="6" t="str">
        <f aca="false">Rubric!A4</f>
        <v>Core functionality</v>
      </c>
      <c r="B8" s="6" t="n">
        <f aca="false">Rubric!B4</f>
        <v>20</v>
      </c>
      <c r="C8" s="9"/>
      <c r="D8" s="6" t="str">
        <f aca="false">IF(C8="","",B8*C8/4)</f>
        <v/>
      </c>
      <c r="E8" s="10"/>
    </row>
    <row r="9" customFormat="false" ht="15" hidden="false" customHeight="true" outlineLevel="0" collapsed="false">
      <c r="A9" s="6" t="str">
        <f aca="false">Rubric!A5</f>
        <v>AI and data quality</v>
      </c>
      <c r="B9" s="6" t="n">
        <f aca="false">Rubric!B5</f>
        <v>15</v>
      </c>
      <c r="C9" s="9"/>
      <c r="D9" s="6" t="str">
        <f aca="false">IF(C9="","",B9*C9/4)</f>
        <v/>
      </c>
      <c r="E9" s="10"/>
    </row>
    <row r="10" customFormat="false" ht="15" hidden="false" customHeight="true" outlineLevel="0" collapsed="false">
      <c r="A10" s="6" t="str">
        <f aca="false">Rubric!A6</f>
        <v>Engineering quality</v>
      </c>
      <c r="B10" s="6" t="n">
        <f aca="false">Rubric!B6</f>
        <v>10</v>
      </c>
      <c r="C10" s="9"/>
      <c r="D10" s="6" t="str">
        <f aca="false">IF(C10="","",B10*C10/4)</f>
        <v/>
      </c>
      <c r="E10" s="10"/>
    </row>
    <row r="11" customFormat="false" ht="15" hidden="false" customHeight="true" outlineLevel="0" collapsed="false">
      <c r="A11" s="6" t="str">
        <f aca="false">Rubric!A7</f>
        <v>Security, guardrails and responsible AI</v>
      </c>
      <c r="B11" s="6" t="n">
        <f aca="false">Rubric!B7</f>
        <v>10</v>
      </c>
      <c r="C11" s="9"/>
      <c r="D11" s="6" t="str">
        <f aca="false">IF(C11="","",B11*C11/4)</f>
        <v/>
      </c>
      <c r="E11" s="10"/>
    </row>
    <row r="12" customFormat="false" ht="15" hidden="false" customHeight="true" outlineLevel="0" collapsed="false">
      <c r="A12" s="6" t="str">
        <f aca="false">Rubric!A8</f>
        <v>Deployment and operations</v>
      </c>
      <c r="B12" s="6" t="n">
        <f aca="false">Rubric!B8</f>
        <v>10</v>
      </c>
      <c r="C12" s="9"/>
      <c r="D12" s="6" t="str">
        <f aca="false">IF(C12="","",B12*C12/4)</f>
        <v/>
      </c>
      <c r="E12" s="10"/>
    </row>
    <row r="13" customFormat="false" ht="15" hidden="false" customHeight="true" outlineLevel="0" collapsed="false">
      <c r="A13" s="6" t="str">
        <f aca="false">Rubric!A9</f>
        <v>Demo and communication</v>
      </c>
      <c r="B13" s="6" t="n">
        <f aca="false">Rubric!B9</f>
        <v>10</v>
      </c>
      <c r="C13" s="9"/>
      <c r="D13" s="6" t="str">
        <f aca="false">IF(C13="","",B13*C13/4)</f>
        <v/>
      </c>
      <c r="E13" s="10"/>
    </row>
    <row r="14" customFormat="false" ht="15" hidden="false" customHeight="true" outlineLevel="0" collapsed="false">
      <c r="A14" s="6" t="str">
        <f aca="false">Rubric!A10</f>
        <v>Teamwork and process</v>
      </c>
      <c r="B14" s="6" t="n">
        <f aca="false">Rubric!B10</f>
        <v>5</v>
      </c>
      <c r="C14" s="9"/>
      <c r="D14" s="6" t="str">
        <f aca="false">IF(C14="","",B14*C14/4)</f>
        <v/>
      </c>
      <c r="E14" s="10"/>
    </row>
    <row r="16" customFormat="false" ht="15" hidden="false" customHeight="true" outlineLevel="0" collapsed="false">
      <c r="A16" s="8" t="s">
        <v>14</v>
      </c>
      <c r="D16" s="11" t="str">
        <f aca="false">IF(COUNT(C6:C14)=0,"",SUM(D6:D14))</f>
        <v/>
      </c>
    </row>
    <row r="17" customFormat="false" ht="15" hidden="false" customHeight="true" outlineLevel="0" collapsed="false">
      <c r="A17" s="8" t="s">
        <v>15</v>
      </c>
      <c r="D17" s="11" t="str">
        <f aca="false">IF(D16="","",IF(D16&gt;=85,"Distinction",IF(D16&gt;=70,"Merit",IF(D16&gt;=55,"Pass","Needs resubmission"))))</f>
        <v/>
      </c>
    </row>
    <row r="18" customFormat="false" ht="15" hidden="false" customHeight="true" outlineLevel="0" collapsed="false">
      <c r="A18" s="12" t="s">
        <v>16</v>
      </c>
      <c r="D18" s="12" t="str">
        <f aca="false">COUNT(C6:C14)&amp;"/9"</f>
        <v>0/9</v>
      </c>
    </row>
  </sheetData>
  <dataValidations count="1">
    <dataValidation allowBlank="true" error="Enter a whole number from 1 to 4" errorStyle="stop" operator="between" showDropDown="false" showErrorMessage="true" showInputMessage="false" sqref="C6:C1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70"/>
  </cols>
  <sheetData>
    <row r="1" customFormat="false" ht="15" hidden="false" customHeight="true" outlineLevel="0" collapsed="false">
      <c r="A1" s="8" t="s">
        <v>12</v>
      </c>
      <c r="B1" s="9"/>
    </row>
    <row r="2" customFormat="false" ht="15" hidden="false" customHeight="true" outlineLevel="0" collapsed="false">
      <c r="A2" s="8" t="s">
        <v>13</v>
      </c>
      <c r="B2" s="9"/>
    </row>
    <row r="3" customFormat="false" ht="15" hidden="false" customHeight="true" outlineLevel="0" collapsed="false">
      <c r="A3" s="8" t="s">
        <v>57</v>
      </c>
      <c r="B3" s="9"/>
    </row>
    <row r="5" customFormat="false" ht="15" hidden="false" customHeight="true" outlineLevel="0" collapsed="false">
      <c r="A5" s="5" t="s">
        <v>25</v>
      </c>
      <c r="B5" s="5" t="s">
        <v>26</v>
      </c>
      <c r="C5" s="5" t="s">
        <v>59</v>
      </c>
      <c r="D5" s="5" t="s">
        <v>60</v>
      </c>
      <c r="E5" s="5" t="s">
        <v>61</v>
      </c>
    </row>
    <row r="6" customFormat="false" ht="15" hidden="false" customHeight="true" outlineLevel="0" collapsed="false">
      <c r="A6" s="6" t="str">
        <f aca="false">Rubric!A2</f>
        <v>Problem understanding and scoping</v>
      </c>
      <c r="B6" s="6" t="n">
        <f aca="false">Rubric!B2</f>
        <v>10</v>
      </c>
      <c r="C6" s="9"/>
      <c r="D6" s="6" t="str">
        <f aca="false">IF(C6="","",B6*C6/4)</f>
        <v/>
      </c>
      <c r="E6" s="10"/>
    </row>
    <row r="7" customFormat="false" ht="15" hidden="false" customHeight="true" outlineLevel="0" collapsed="false">
      <c r="A7" s="6" t="str">
        <f aca="false">Rubric!A3</f>
        <v>Architecture and design</v>
      </c>
      <c r="B7" s="6" t="n">
        <f aca="false">Rubric!B3</f>
        <v>10</v>
      </c>
      <c r="C7" s="9"/>
      <c r="D7" s="6" t="str">
        <f aca="false">IF(C7="","",B7*C7/4)</f>
        <v/>
      </c>
      <c r="E7" s="10"/>
    </row>
    <row r="8" customFormat="false" ht="15" hidden="false" customHeight="true" outlineLevel="0" collapsed="false">
      <c r="A8" s="6" t="str">
        <f aca="false">Rubric!A4</f>
        <v>Core functionality</v>
      </c>
      <c r="B8" s="6" t="n">
        <f aca="false">Rubric!B4</f>
        <v>20</v>
      </c>
      <c r="C8" s="9"/>
      <c r="D8" s="6" t="str">
        <f aca="false">IF(C8="","",B8*C8/4)</f>
        <v/>
      </c>
      <c r="E8" s="10"/>
    </row>
    <row r="9" customFormat="false" ht="15" hidden="false" customHeight="true" outlineLevel="0" collapsed="false">
      <c r="A9" s="6" t="str">
        <f aca="false">Rubric!A5</f>
        <v>AI and data quality</v>
      </c>
      <c r="B9" s="6" t="n">
        <f aca="false">Rubric!B5</f>
        <v>15</v>
      </c>
      <c r="C9" s="9"/>
      <c r="D9" s="6" t="str">
        <f aca="false">IF(C9="","",B9*C9/4)</f>
        <v/>
      </c>
      <c r="E9" s="10"/>
    </row>
    <row r="10" customFormat="false" ht="15" hidden="false" customHeight="true" outlineLevel="0" collapsed="false">
      <c r="A10" s="6" t="str">
        <f aca="false">Rubric!A6</f>
        <v>Engineering quality</v>
      </c>
      <c r="B10" s="6" t="n">
        <f aca="false">Rubric!B6</f>
        <v>10</v>
      </c>
      <c r="C10" s="9"/>
      <c r="D10" s="6" t="str">
        <f aca="false">IF(C10="","",B10*C10/4)</f>
        <v/>
      </c>
      <c r="E10" s="10"/>
    </row>
    <row r="11" customFormat="false" ht="15" hidden="false" customHeight="true" outlineLevel="0" collapsed="false">
      <c r="A11" s="6" t="str">
        <f aca="false">Rubric!A7</f>
        <v>Security, guardrails and responsible AI</v>
      </c>
      <c r="B11" s="6" t="n">
        <f aca="false">Rubric!B7</f>
        <v>10</v>
      </c>
      <c r="C11" s="9"/>
      <c r="D11" s="6" t="str">
        <f aca="false">IF(C11="","",B11*C11/4)</f>
        <v/>
      </c>
      <c r="E11" s="10"/>
    </row>
    <row r="12" customFormat="false" ht="15" hidden="false" customHeight="true" outlineLevel="0" collapsed="false">
      <c r="A12" s="6" t="str">
        <f aca="false">Rubric!A8</f>
        <v>Deployment and operations</v>
      </c>
      <c r="B12" s="6" t="n">
        <f aca="false">Rubric!B8</f>
        <v>10</v>
      </c>
      <c r="C12" s="9"/>
      <c r="D12" s="6" t="str">
        <f aca="false">IF(C12="","",B12*C12/4)</f>
        <v/>
      </c>
      <c r="E12" s="10"/>
    </row>
    <row r="13" customFormat="false" ht="15" hidden="false" customHeight="true" outlineLevel="0" collapsed="false">
      <c r="A13" s="6" t="str">
        <f aca="false">Rubric!A9</f>
        <v>Demo and communication</v>
      </c>
      <c r="B13" s="6" t="n">
        <f aca="false">Rubric!B9</f>
        <v>10</v>
      </c>
      <c r="C13" s="9"/>
      <c r="D13" s="6" t="str">
        <f aca="false">IF(C13="","",B13*C13/4)</f>
        <v/>
      </c>
      <c r="E13" s="10"/>
    </row>
    <row r="14" customFormat="false" ht="15" hidden="false" customHeight="true" outlineLevel="0" collapsed="false">
      <c r="A14" s="6" t="str">
        <f aca="false">Rubric!A10</f>
        <v>Teamwork and process</v>
      </c>
      <c r="B14" s="6" t="n">
        <f aca="false">Rubric!B10</f>
        <v>5</v>
      </c>
      <c r="C14" s="9"/>
      <c r="D14" s="6" t="str">
        <f aca="false">IF(C14="","",B14*C14/4)</f>
        <v/>
      </c>
      <c r="E14" s="10"/>
    </row>
    <row r="16" customFormat="false" ht="15" hidden="false" customHeight="true" outlineLevel="0" collapsed="false">
      <c r="A16" s="8" t="s">
        <v>14</v>
      </c>
      <c r="D16" s="11" t="str">
        <f aca="false">IF(COUNT(C6:C14)=0,"",SUM(D6:D14))</f>
        <v/>
      </c>
    </row>
    <row r="17" customFormat="false" ht="15" hidden="false" customHeight="true" outlineLevel="0" collapsed="false">
      <c r="A17" s="8" t="s">
        <v>15</v>
      </c>
      <c r="D17" s="11" t="str">
        <f aca="false">IF(D16="","",IF(D16&gt;=85,"Distinction",IF(D16&gt;=70,"Merit",IF(D16&gt;=55,"Pass","Needs resubmission"))))</f>
        <v/>
      </c>
    </row>
    <row r="18" customFormat="false" ht="15" hidden="false" customHeight="true" outlineLevel="0" collapsed="false">
      <c r="A18" s="12" t="s">
        <v>16</v>
      </c>
      <c r="D18" s="12" t="str">
        <f aca="false">COUNT(C6:C14)&amp;"/9"</f>
        <v>0/9</v>
      </c>
    </row>
  </sheetData>
  <dataValidations count="1">
    <dataValidation allowBlank="true" error="Enter a whole number from 1 to 4" errorStyle="stop" operator="between" showDropDown="false" showErrorMessage="true" showInputMessage="false" sqref="C6:C14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2026-10-04T03:43:19Z</dcterms:created>
  <dc:creator>openpyxl</dc:creator>
  <dc:description/>
  <dc:language>en-US</dc:language>
  <cp:lastModifiedBy/>
  <dcterms:modified xsi:type="dcterms:W3CDTF">2026-10-04T03:43:34Z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